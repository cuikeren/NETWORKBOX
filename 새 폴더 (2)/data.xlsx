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60安全浏览器下载\새 폴더 (2)\"/>
    </mc:Choice>
  </mc:AlternateContent>
  <xr:revisionPtr revIDLastSave="0" documentId="13_ncr:1_{0D35645C-0331-46BE-A292-889C6D7DAEC7}" xr6:coauthVersionLast="47" xr6:coauthVersionMax="47" xr10:uidLastSave="{00000000-0000-0000-0000-000000000000}"/>
  <bookViews>
    <workbookView xWindow="-28920" yWindow="1140" windowWidth="29040" windowHeight="15720" xr2:uid="{DEA99F99-225F-4E99-9DC6-C46F1B2255DE}"/>
  </bookViews>
  <sheets>
    <sheet name="계약이행율" sheetId="1" r:id="rId1"/>
    <sheet name="OIC" sheetId="3" r:id="rId2"/>
  </sheets>
  <definedNames>
    <definedName name="_xlnm._FilterDatabase" localSheetId="1" hidden="1">OIC!$A$3:$P$240</definedName>
    <definedName name="_xlnm._FilterDatabase" localSheetId="0" hidden="1">계약이행율!$A$3:$O$242</definedName>
    <definedName name="_xlnm.Print_Area" localSheetId="0">계약이행율!$B$2:$O$238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51" i="1" l="1"/>
  <c r="N250" i="1"/>
  <c r="N248" i="1"/>
  <c r="N247" i="1"/>
  <c r="N246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4" i="1"/>
  <c r="N223" i="1"/>
  <c r="N222" i="1"/>
  <c r="N220" i="1"/>
  <c r="N219" i="1"/>
  <c r="N218" i="1"/>
  <c r="N216" i="1"/>
  <c r="N215" i="1"/>
  <c r="N214" i="1"/>
  <c r="N213" i="1"/>
  <c r="N212" i="1"/>
  <c r="N211" i="1"/>
  <c r="N210" i="1"/>
  <c r="N209" i="1"/>
  <c r="N208" i="1"/>
  <c r="N207" i="1"/>
  <c r="N206" i="1"/>
  <c r="N204" i="1"/>
  <c r="N203" i="1"/>
  <c r="N202" i="1"/>
  <c r="N201" i="1"/>
  <c r="N199" i="1"/>
  <c r="N198" i="1"/>
  <c r="N196" i="1"/>
  <c r="N195" i="1"/>
  <c r="N194" i="1"/>
  <c r="N193" i="1"/>
  <c r="N191" i="1"/>
  <c r="N190" i="1"/>
  <c r="N188" i="1"/>
  <c r="N187" i="1"/>
  <c r="N186" i="1"/>
  <c r="N185" i="1"/>
  <c r="N183" i="1"/>
  <c r="N182" i="1"/>
  <c r="N180" i="1"/>
  <c r="N179" i="1"/>
  <c r="N178" i="1"/>
  <c r="N177" i="1"/>
  <c r="N175" i="1"/>
  <c r="N174" i="1"/>
  <c r="N173" i="1"/>
  <c r="N172" i="1"/>
  <c r="N171" i="1"/>
  <c r="N170" i="1"/>
  <c r="N166" i="1"/>
  <c r="N164" i="1"/>
  <c r="N162" i="1"/>
  <c r="N161" i="1"/>
  <c r="N160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2" i="1"/>
  <c r="N141" i="1"/>
  <c r="N140" i="1"/>
  <c r="N138" i="1"/>
  <c r="N137" i="1"/>
  <c r="N136" i="1"/>
  <c r="N134" i="1"/>
  <c r="N133" i="1"/>
  <c r="N132" i="1"/>
  <c r="N130" i="1"/>
  <c r="N129" i="1"/>
  <c r="N128" i="1"/>
  <c r="N126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0" i="1"/>
  <c r="N109" i="1"/>
  <c r="N108" i="1"/>
  <c r="N106" i="1"/>
  <c r="N105" i="1"/>
  <c r="N104" i="1"/>
  <c r="N102" i="1"/>
  <c r="N101" i="1"/>
  <c r="N100" i="1"/>
  <c r="N99" i="1"/>
  <c r="N98" i="1"/>
  <c r="N97" i="1"/>
  <c r="N96" i="1"/>
  <c r="N94" i="1"/>
  <c r="N93" i="1"/>
  <c r="N92" i="1"/>
  <c r="N91" i="1"/>
  <c r="N90" i="1"/>
  <c r="N89" i="1"/>
  <c r="N88" i="1"/>
  <c r="N87" i="1"/>
  <c r="N85" i="1"/>
  <c r="N84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8" i="1"/>
  <c r="N67" i="1"/>
  <c r="N66" i="1"/>
  <c r="N64" i="1"/>
  <c r="N63" i="1"/>
  <c r="N62" i="1"/>
  <c r="N60" i="1"/>
  <c r="N59" i="1"/>
  <c r="N58" i="1"/>
  <c r="N56" i="1"/>
  <c r="N55" i="1"/>
  <c r="N54" i="1"/>
  <c r="N53" i="1"/>
  <c r="N52" i="1"/>
  <c r="N51" i="1"/>
  <c r="N50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2" i="1"/>
  <c r="N31" i="1"/>
  <c r="N30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61" i="1" l="1"/>
  <c r="N86" i="1"/>
  <c r="N29" i="1"/>
  <c r="N49" i="1"/>
  <c r="N83" i="1"/>
  <c r="N69" i="1"/>
  <c r="N57" i="1"/>
  <c r="N125" i="1"/>
  <c r="N33" i="1"/>
  <c r="N65" i="1"/>
  <c r="N111" i="1"/>
  <c r="N143" i="1"/>
  <c r="N163" i="1"/>
  <c r="N168" i="1"/>
  <c r="N181" i="1"/>
  <c r="N229" i="1"/>
  <c r="N225" i="1"/>
  <c r="N131" i="1"/>
  <c r="N165" i="1"/>
  <c r="N192" i="1"/>
  <c r="N205" i="1"/>
  <c r="N221" i="1"/>
  <c r="N217" i="1"/>
  <c r="N107" i="1"/>
  <c r="N139" i="1"/>
  <c r="N167" i="1"/>
  <c r="N176" i="1"/>
  <c r="N189" i="1"/>
  <c r="N169" i="1"/>
  <c r="N95" i="1"/>
  <c r="N127" i="1"/>
  <c r="N159" i="1"/>
  <c r="N200" i="1"/>
  <c r="N249" i="1"/>
  <c r="N103" i="1"/>
  <c r="N135" i="1"/>
  <c r="N184" i="1"/>
  <c r="N197" i="1"/>
  <c r="N245" i="1"/>
  <c r="O45" i="1" l="1"/>
  <c r="O13" i="1"/>
  <c r="O9" i="1"/>
  <c r="O109" i="1"/>
  <c r="O32" i="1"/>
  <c r="O214" i="1"/>
  <c r="O166" i="1"/>
  <c r="O177" i="1"/>
  <c r="O147" i="1"/>
  <c r="O96" i="1"/>
  <c r="O170" i="1"/>
  <c r="O241" i="1"/>
  <c r="O21" i="1"/>
  <c r="O70" i="1"/>
  <c r="O85" i="1"/>
  <c r="O81" i="1"/>
  <c r="O189" i="1"/>
  <c r="O100" i="1"/>
  <c r="O108" i="1"/>
  <c r="O242" i="1"/>
  <c r="O59" i="1"/>
  <c r="O163" i="1"/>
  <c r="O161" i="1"/>
  <c r="O247" i="1"/>
  <c r="O225" i="1"/>
  <c r="O77" i="1"/>
  <c r="O7" i="1"/>
  <c r="O156" i="1"/>
  <c r="O213" i="1"/>
  <c r="O192" i="1"/>
  <c r="O215" i="1"/>
  <c r="O140" i="1"/>
  <c r="O63" i="1"/>
  <c r="O135" i="1"/>
  <c r="O149" i="1"/>
  <c r="O40" i="1"/>
  <c r="O18" i="1"/>
  <c r="O249" i="1"/>
  <c r="O5" i="1"/>
  <c r="O157" i="1"/>
  <c r="O240" i="1"/>
  <c r="O12" i="1"/>
  <c r="O76" i="1"/>
  <c r="O175" i="1"/>
  <c r="O15" i="1"/>
  <c r="O160" i="1"/>
  <c r="O134" i="1"/>
  <c r="O190" i="1"/>
  <c r="O246" i="1"/>
  <c r="O27" i="1"/>
  <c r="O181" i="1"/>
  <c r="O206" i="1"/>
  <c r="O83" i="1"/>
  <c r="O90" i="1"/>
  <c r="O115" i="1"/>
  <c r="O34" i="1"/>
  <c r="O146" i="1"/>
  <c r="O162" i="1"/>
  <c r="O39" i="1"/>
  <c r="O195" i="1"/>
  <c r="O57" i="1"/>
  <c r="O167" i="1"/>
  <c r="O131" i="1"/>
  <c r="O152" i="1"/>
  <c r="O52" i="1"/>
  <c r="O186" i="1"/>
  <c r="O158" i="1"/>
  <c r="O209" i="1"/>
  <c r="O44" i="1"/>
  <c r="O129" i="1"/>
  <c r="O49" i="1"/>
  <c r="O106" i="1"/>
  <c r="O222" i="1"/>
  <c r="O179" i="1"/>
  <c r="O148" i="1"/>
  <c r="O107" i="1"/>
  <c r="O218" i="1"/>
  <c r="O151" i="1"/>
  <c r="O80" i="1"/>
  <c r="O8" i="1"/>
  <c r="O196" i="1"/>
  <c r="O82" i="1"/>
  <c r="O141" i="1"/>
  <c r="O159" i="1"/>
  <c r="O16" i="1"/>
  <c r="O203" i="1"/>
  <c r="O187" i="1"/>
  <c r="O224" i="1"/>
  <c r="O251" i="1"/>
  <c r="O145" i="1"/>
  <c r="O234" i="1"/>
  <c r="O36" i="1"/>
  <c r="O174" i="1"/>
  <c r="O182" i="1"/>
  <c r="O103" i="1"/>
  <c r="O33" i="1"/>
  <c r="O101" i="1"/>
  <c r="O113" i="1"/>
  <c r="O126" i="1"/>
  <c r="O50" i="1"/>
  <c r="O138" i="1"/>
  <c r="O133" i="1"/>
  <c r="O55" i="1"/>
  <c r="O205" i="1"/>
  <c r="O105" i="1"/>
  <c r="O154" i="1"/>
  <c r="O221" i="1"/>
  <c r="O97" i="1"/>
  <c r="O87" i="1"/>
  <c r="O155" i="1"/>
  <c r="O98" i="1"/>
  <c r="O11" i="1"/>
  <c r="O110" i="1"/>
  <c r="O61" i="1"/>
  <c r="O198" i="1"/>
  <c r="O46" i="1"/>
  <c r="O217" i="1"/>
  <c r="O233" i="1"/>
  <c r="O243" i="1"/>
  <c r="O199" i="1"/>
  <c r="O29" i="1"/>
  <c r="O94" i="1"/>
  <c r="O226" i="1"/>
  <c r="O26" i="1"/>
  <c r="O229" i="1"/>
  <c r="O212" i="1"/>
  <c r="O22" i="1"/>
  <c r="O144" i="1"/>
  <c r="O31" i="1"/>
  <c r="O236" i="1"/>
  <c r="O184" i="1"/>
  <c r="O238" i="1"/>
  <c r="O250" i="1"/>
  <c r="O169" i="1"/>
  <c r="O191" i="1"/>
  <c r="O112" i="1"/>
  <c r="O114" i="1"/>
  <c r="O116" i="1"/>
  <c r="O245" i="1"/>
  <c r="O95" i="1"/>
  <c r="O54" i="1"/>
  <c r="O6" i="1"/>
  <c r="O185" i="1"/>
  <c r="O139" i="1"/>
  <c r="O104" i="1"/>
  <c r="O43" i="1"/>
  <c r="O122" i="1"/>
  <c r="O128" i="1"/>
  <c r="O200" i="1"/>
  <c r="O88" i="1"/>
  <c r="O194" i="1"/>
  <c r="O178" i="1"/>
  <c r="O30" i="1"/>
  <c r="O127" i="1"/>
  <c r="O232" i="1"/>
  <c r="O68" i="1"/>
  <c r="O10" i="1"/>
  <c r="O180" i="1"/>
  <c r="O35" i="1"/>
  <c r="O216" i="1"/>
  <c r="O164" i="1"/>
  <c r="O188" i="1"/>
  <c r="O123" i="1"/>
  <c r="O19" i="1"/>
  <c r="O228" i="1"/>
  <c r="O53" i="1"/>
  <c r="O41" i="1"/>
  <c r="O120" i="1"/>
  <c r="O47" i="1"/>
  <c r="O92" i="1"/>
  <c r="O65" i="1"/>
  <c r="O84" i="1"/>
  <c r="O153" i="1"/>
  <c r="O24" i="1"/>
  <c r="O117" i="1"/>
  <c r="O210" i="1"/>
  <c r="O197" i="1"/>
  <c r="O219" i="1"/>
  <c r="O193" i="1"/>
  <c r="O69" i="1"/>
  <c r="O150" i="1"/>
  <c r="O78" i="1"/>
  <c r="O204" i="1"/>
  <c r="O17" i="1"/>
  <c r="O202" i="1"/>
  <c r="O20" i="1"/>
  <c r="O119" i="1"/>
  <c r="O48" i="1"/>
  <c r="O51" i="1"/>
  <c r="O211" i="1"/>
  <c r="O91" i="1"/>
  <c r="O239" i="1"/>
  <c r="O136" i="1"/>
  <c r="O67" i="1"/>
  <c r="O220" i="1"/>
  <c r="O74" i="1"/>
  <c r="O79" i="1"/>
  <c r="O121" i="1"/>
  <c r="O72" i="1"/>
  <c r="O176" i="1"/>
  <c r="O56" i="1"/>
  <c r="O25" i="1"/>
  <c r="O235" i="1"/>
  <c r="O111" i="1"/>
  <c r="O58" i="1"/>
  <c r="O223" i="1"/>
  <c r="O28" i="1"/>
  <c r="O64" i="1"/>
  <c r="O132" i="1"/>
  <c r="O207" i="1"/>
  <c r="O237" i="1"/>
  <c r="O4" i="1"/>
  <c r="O142" i="1"/>
  <c r="O93" i="1"/>
  <c r="O230" i="1"/>
  <c r="O89" i="1"/>
  <c r="O23" i="1"/>
  <c r="O124" i="1"/>
  <c r="O71" i="1"/>
  <c r="O244" i="1"/>
  <c r="O183" i="1"/>
  <c r="O66" i="1"/>
  <c r="O102" i="1"/>
  <c r="O73" i="1"/>
  <c r="O171" i="1"/>
  <c r="O86" i="1"/>
  <c r="O165" i="1"/>
  <c r="O201" i="1"/>
  <c r="O172" i="1"/>
  <c r="O62" i="1"/>
  <c r="O137" i="1"/>
  <c r="O37" i="1"/>
  <c r="O173" i="1"/>
  <c r="O227" i="1"/>
  <c r="O231" i="1"/>
  <c r="O208" i="1"/>
  <c r="O75" i="1"/>
  <c r="O143" i="1"/>
  <c r="O130" i="1"/>
  <c r="O14" i="1"/>
  <c r="O118" i="1"/>
  <c r="O125" i="1"/>
  <c r="O99" i="1"/>
  <c r="O248" i="1"/>
  <c r="O38" i="1"/>
  <c r="O168" i="1"/>
  <c r="O42" i="1"/>
  <c r="O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osstem</author>
  </authors>
  <commentList>
    <comment ref="J85" authorId="0" shapeId="0" xr:uid="{93C4B6B4-E077-475A-968E-87A554A32B48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通用审批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-4
</t>
        </r>
        <r>
          <rPr>
            <sz val="9"/>
            <color indexed="81"/>
            <rFont val="宋体"/>
            <family val="3"/>
            <charset val="134"/>
          </rPr>
          <t>科康</t>
        </r>
      </text>
    </comment>
    <comment ref="J184" authorId="0" shapeId="0" xr:uid="{8D27989C-91C5-4A83-9521-A9B92AAD502C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通用审批
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-4
</t>
        </r>
        <r>
          <rPr>
            <sz val="9"/>
            <color indexed="81"/>
            <rFont val="宋体"/>
            <family val="3"/>
            <charset val="134"/>
          </rPr>
          <t>希伯来</t>
        </r>
      </text>
    </comment>
    <comment ref="B212" authorId="0" shapeId="0" xr:uid="{D06F3008-B2A4-45C0-9C15-2F122A4A453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BatangChe"/>
            <family val="3"/>
            <charset val="129"/>
          </rPr>
          <t>부장님이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해외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국내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BatangChe"/>
            <family val="3"/>
            <charset val="129"/>
          </rPr>
          <t>개로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더주는느낌으로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쓰게함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그들은</t>
        </r>
        <r>
          <rPr>
            <sz val="9"/>
            <color indexed="81"/>
            <rFont val="Tahoma"/>
            <family val="2"/>
          </rPr>
          <t xml:space="preserve"> 4,4</t>
        </r>
        <r>
          <rPr>
            <sz val="9"/>
            <color indexed="81"/>
            <rFont val="BatangChe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알고있음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<sst xmlns="http://schemas.openxmlformats.org/spreadsheetml/2006/main" count="1816" uniqueCount="554">
  <si>
    <t>BIJT-C-LS-HK-25A-25-0071</t>
  </si>
  <si>
    <t>苏州海珥森医疗器械有限公司1</t>
  </si>
  <si>
    <t>上海事业部</t>
  </si>
  <si>
    <t>C</t>
  </si>
  <si>
    <t>BIJT-C-LS-DK-25A-25-0001</t>
  </si>
  <si>
    <t>植之道</t>
  </si>
  <si>
    <t>深圳事业部</t>
  </si>
  <si>
    <t>TIJT-B-ZLS-HK-25-3200603-25-2</t>
  </si>
  <si>
    <t>中诺集团1</t>
  </si>
  <si>
    <t>北京事业部</t>
  </si>
  <si>
    <t>A</t>
  </si>
  <si>
    <t>SIJT-C-LS-HK-25A-25-0008</t>
  </si>
  <si>
    <t>福州美可普</t>
  </si>
  <si>
    <t>杭州事业部</t>
  </si>
  <si>
    <t>BIJT-B-JX-HK-25A-25-0004</t>
  </si>
  <si>
    <t>蓝天集团</t>
  </si>
  <si>
    <t>南宁事业部</t>
  </si>
  <si>
    <t>B</t>
  </si>
  <si>
    <t>杭州杭人口腔1</t>
  </si>
  <si>
    <t>BIJT-C-LS-HK-25A-25-0020</t>
  </si>
  <si>
    <t>新会壹心维美</t>
  </si>
  <si>
    <t>SIJT-B-MLS-HK-25-0004</t>
  </si>
  <si>
    <t>麦芽</t>
  </si>
  <si>
    <t>BIJT-C-LS-HK-25A-25-0032</t>
  </si>
  <si>
    <t>南宁天使</t>
  </si>
  <si>
    <t>BIJT-C-JX-HK-25A-25-0011</t>
  </si>
  <si>
    <t>希柏莱（穗华口腔）</t>
  </si>
  <si>
    <t>绍兴复大</t>
  </si>
  <si>
    <t>BIJT-B-LS-HK-25A-25-0007</t>
  </si>
  <si>
    <t>厦门优选医疗科技有限公司</t>
  </si>
  <si>
    <t>BIJT-C-JX-XK-25A-25-0001</t>
  </si>
  <si>
    <t>北京顺德</t>
  </si>
  <si>
    <t>BIJT-C-LS-HK-25A-25-0064</t>
  </si>
  <si>
    <t>柏乐集团</t>
  </si>
  <si>
    <t>BIJT-C-LS-XK-25A-25-0003</t>
  </si>
  <si>
    <t>恩施汉祥医疗科技有限公司</t>
  </si>
  <si>
    <t>青岛事业部</t>
  </si>
  <si>
    <t>BIJT-C-LS-HK-25A-25-0062</t>
  </si>
  <si>
    <t>杭州杭人口腔2</t>
  </si>
  <si>
    <t>绍兴京韩</t>
  </si>
  <si>
    <t>SIJT-C-LS-HK-25A-25-0005</t>
  </si>
  <si>
    <t>南京新亚医疗器械有限公司1</t>
  </si>
  <si>
    <t>南京事业部</t>
  </si>
  <si>
    <t>BIJT-B-LS-HK-25A-25-0006</t>
  </si>
  <si>
    <t>南京和裕医疗器械有限公司1</t>
  </si>
  <si>
    <t>BIJT-C-LS-HK-25A-25-0012</t>
  </si>
  <si>
    <t>伶牙利</t>
  </si>
  <si>
    <t>BIJT-C-LS-HK-25A-25-0047</t>
  </si>
  <si>
    <t>北京优贝</t>
  </si>
  <si>
    <t>TIJT-C-LS-HK-25A-25-0007</t>
  </si>
  <si>
    <t>金海莱蒽1</t>
  </si>
  <si>
    <t>BIJT-B-JX-HK-25A-25-0007</t>
  </si>
  <si>
    <t>东莞东城百花1</t>
  </si>
  <si>
    <t>BIJT-A-JX-HK-25A-25-0009</t>
  </si>
  <si>
    <t>陌客尔</t>
  </si>
  <si>
    <t>BIJT-A-JX-HK-25A-25-0006</t>
  </si>
  <si>
    <t>上海健曜医疗器械有限公司1</t>
  </si>
  <si>
    <t>SIJT-C-MLS-HK-25-0002</t>
  </si>
  <si>
    <t>上海隆升和医疗科技有限公司</t>
  </si>
  <si>
    <t>BIJT-C-LS-HK-25A-25-0009</t>
  </si>
  <si>
    <t>宁波牙博士1</t>
  </si>
  <si>
    <t>SIJT-C-LS-HK-25A-25-0012</t>
  </si>
  <si>
    <t>北京中科领军</t>
  </si>
  <si>
    <t>TIJT-C-LS-HK-25A-25-0003</t>
  </si>
  <si>
    <t>顺德口腔</t>
  </si>
  <si>
    <t>BIJT-C-LS-HK-25A-25-0017</t>
  </si>
  <si>
    <t>北京鼎顺利商贸有限公司</t>
  </si>
  <si>
    <t>无锡贝壳</t>
  </si>
  <si>
    <t>BIJT-C-LS-HK-25A-25-0082</t>
  </si>
  <si>
    <t>辽宁鼎冠义齿科技有限公司</t>
  </si>
  <si>
    <t>沈阳事业部</t>
  </si>
  <si>
    <t>北京雅仕</t>
  </si>
  <si>
    <t>IMJT-C-MLS-HK-5100911-25-9</t>
  </si>
  <si>
    <t>无锡佳士洁</t>
  </si>
  <si>
    <t>BIJT-C-LS-HK-25A-25-0024</t>
  </si>
  <si>
    <t>南京金铂利</t>
  </si>
  <si>
    <t>BIJT-C-LS-HK-25A-25-0050</t>
  </si>
  <si>
    <t>广州海科医疗技术有限公司</t>
  </si>
  <si>
    <t>宜兴口腔</t>
  </si>
  <si>
    <t>莞口口腔</t>
  </si>
  <si>
    <t>BIJT-C-JX-HK-25A-25-0013</t>
  </si>
  <si>
    <t>康美尚（广州德伦）</t>
  </si>
  <si>
    <t>BIJT-C-LS-HK-25A-25-0029</t>
  </si>
  <si>
    <t>无锡爱牙</t>
  </si>
  <si>
    <t>SIJT-C-LS-HK-25A-25-0014</t>
  </si>
  <si>
    <t>吉林爱齿</t>
  </si>
  <si>
    <t>哈尔滨事业部</t>
  </si>
  <si>
    <t>IMJT-B-MLS-HK-4801242-25-1</t>
  </si>
  <si>
    <t>常州北极星</t>
  </si>
  <si>
    <t>BITJ-C-LS-HK-25A-25-0001</t>
  </si>
  <si>
    <t>常州艾齿嘉</t>
  </si>
  <si>
    <t>魔都派（上海）医疗器械有限公司</t>
  </si>
  <si>
    <t>BIJT-C-LS-HK-25A-25-0077</t>
  </si>
  <si>
    <t>同步</t>
  </si>
  <si>
    <t>IMJT-C-MLS-HK-3000624-25-1</t>
  </si>
  <si>
    <t>深圳格伦菲尔</t>
  </si>
  <si>
    <t>SIJT-A-MLS-HK-25-0002</t>
  </si>
  <si>
    <t>武汉中泰医疗器械有限公司</t>
  </si>
  <si>
    <t>SIJT-C-LS-HK-25A-25-0001</t>
  </si>
  <si>
    <t>宁波诚适</t>
  </si>
  <si>
    <t>SIJT-C-MLS-HK-25-0003</t>
  </si>
  <si>
    <t>赤峰圭玺医疗器械有限公司</t>
  </si>
  <si>
    <t>BIJT-C-LS-HK-25A-25-0079</t>
  </si>
  <si>
    <t>湖北华玉</t>
  </si>
  <si>
    <t>BIJT-C-LS-HK-25A-25-0008</t>
  </si>
  <si>
    <t>福州海峡</t>
  </si>
  <si>
    <t>BIJT-C-LS-XK-25A-25-0005</t>
  </si>
  <si>
    <t>中诺集团2</t>
  </si>
  <si>
    <t>IMJT-C-LJX-HK-7200738-25-1</t>
  </si>
  <si>
    <t>南京舜禾贸易有限公司</t>
  </si>
  <si>
    <t>BIJT-A-JX-HK-25A-25-0003</t>
  </si>
  <si>
    <t>北京美呀</t>
  </si>
  <si>
    <t>BIJT-C-LS-HK-25A-25-0087</t>
  </si>
  <si>
    <t>万国口腔</t>
  </si>
  <si>
    <t>BIJT-C-LS-HK-25A-25-0055</t>
  </si>
  <si>
    <t>宁波德中</t>
  </si>
  <si>
    <t>BIJT-C-LS-HK-25A-25-0036</t>
  </si>
  <si>
    <t>温州一诺</t>
  </si>
  <si>
    <t>BIJT-A-LS-HK-25A-25-0001</t>
  </si>
  <si>
    <t>长春陈北松</t>
  </si>
  <si>
    <t>BIJT-B-JX-HK-25A-25-0003</t>
  </si>
  <si>
    <t>杭州望江门</t>
  </si>
  <si>
    <t>IMJT-C-MLS-XK-3000938-25-1</t>
  </si>
  <si>
    <t>东莞固德</t>
  </si>
  <si>
    <t>IMJT-C-MLS-XK-3000750-25-1</t>
  </si>
  <si>
    <t>科康</t>
  </si>
  <si>
    <t>BIJT-C-JX-HK-25A-25-0012</t>
  </si>
  <si>
    <t>柏德</t>
  </si>
  <si>
    <t>IMJT-B-MLS-HK-4800337-25-1</t>
  </si>
  <si>
    <t>沈阳九诺</t>
  </si>
  <si>
    <t>BIJT-C-LS-HK-25A-25-0048</t>
  </si>
  <si>
    <t>成都事业部</t>
  </si>
  <si>
    <t>美利口腔</t>
  </si>
  <si>
    <t>BIJT-C-LS-HK-25A-25-0053</t>
  </si>
  <si>
    <t>唐山牙博士</t>
  </si>
  <si>
    <t>BIJT-C-LS-HK-25A-25-0011</t>
  </si>
  <si>
    <t>BIJT-C-JX-HK-25A-25-0019</t>
  </si>
  <si>
    <t>瑞珒集团</t>
  </si>
  <si>
    <t>BIJT-A-LS-HK-25A-25-0002</t>
  </si>
  <si>
    <t>北京海德堡</t>
  </si>
  <si>
    <t>IMJT-A-MLS-HK-5002600-25-1</t>
  </si>
  <si>
    <t>扬州贝恩</t>
  </si>
  <si>
    <t>BIJT-B-JX-HK-25A-25-0006</t>
  </si>
  <si>
    <t>杭州牙科</t>
  </si>
  <si>
    <t>SIJT-C-MLS-HK-25-0001</t>
  </si>
  <si>
    <t>北京拜和</t>
  </si>
  <si>
    <t>BIJT-C-JX-HK-25A-25-0002</t>
  </si>
  <si>
    <t>德周口腔</t>
  </si>
  <si>
    <t>BIJT-B-LS-HK-25A-25-0010</t>
  </si>
  <si>
    <t>阳光树集团</t>
  </si>
  <si>
    <t>BIJT-C-LS-HK-25A-25-0051</t>
  </si>
  <si>
    <t>北京爵冠</t>
  </si>
  <si>
    <t>IMJT-C-MLS-HK-5002741-25-1</t>
  </si>
  <si>
    <t>德贝美</t>
  </si>
  <si>
    <t>SIJT-C-LS-HK-25A-25-0002</t>
  </si>
  <si>
    <t>南宁牙博士</t>
  </si>
  <si>
    <t>IMJT-C-LJX-YC-4801743-25-1</t>
  </si>
  <si>
    <t>刘运波集团</t>
  </si>
  <si>
    <t>SIJT-B-MLS-HK-25-0002</t>
  </si>
  <si>
    <t>无锡牙坐标</t>
  </si>
  <si>
    <t>TIJT-C-LS-HK-25A-25-0006</t>
  </si>
  <si>
    <t>上海尤旦</t>
  </si>
  <si>
    <t>BIJT-C-LS-HK-25A-25-0007</t>
  </si>
  <si>
    <t>上海医大</t>
  </si>
  <si>
    <t>TIJT-C-ZLS-HK-25-3200747-25-1</t>
  </si>
  <si>
    <t>长沙优伢仕</t>
  </si>
  <si>
    <t>BIJT-C-LS-HK-25A-25-0052</t>
  </si>
  <si>
    <t>太原环中</t>
  </si>
  <si>
    <t>太原事业部</t>
  </si>
  <si>
    <t>BIJT-C-JX-HK-25A-25-0001</t>
  </si>
  <si>
    <t>上海华尔康新科医疗器械有限公司</t>
  </si>
  <si>
    <t>BIJT-C-LS-HK-25A-25-0069</t>
  </si>
  <si>
    <t>惠州微笑</t>
  </si>
  <si>
    <t>TIJT-C-ZLS-HK-25-3200018-25-1</t>
  </si>
  <si>
    <t>杭州民利</t>
  </si>
  <si>
    <t>SIJT-C-LS-HK-25A-25-0007</t>
  </si>
  <si>
    <t>大同精典</t>
  </si>
  <si>
    <t>SIJT-A-JX-HK-25A-25-0001</t>
  </si>
  <si>
    <t>北京诚之康</t>
  </si>
  <si>
    <t>BIJT-C-LS-HK-25A-25-0004</t>
  </si>
  <si>
    <t>济南海诺健康科技有限公司</t>
  </si>
  <si>
    <t>SIJT-A-LJX-HK-25-0003</t>
  </si>
  <si>
    <t>成都西南</t>
  </si>
  <si>
    <t>BIJT-C-LS-HK-25A-25-0044</t>
  </si>
  <si>
    <t>桥水医疗(启飞口腔)</t>
  </si>
  <si>
    <t>BIJT-C-LS-HK-25A-25-0023</t>
  </si>
  <si>
    <t>隆化谢氏热河口腔门诊部</t>
  </si>
  <si>
    <t>BIJT-C-LS-HK-25A-25-0033</t>
  </si>
  <si>
    <t>上海美奥</t>
  </si>
  <si>
    <t>IMJT-C-MLS-HK-5002679-25-1</t>
  </si>
  <si>
    <t>三亚微笑口腔门诊部</t>
  </si>
  <si>
    <t>SIJT-A-MLS-HK-25-0001</t>
  </si>
  <si>
    <t>保定牙博士</t>
  </si>
  <si>
    <t>BIJT-C-LS-HK-25A-25-0068</t>
  </si>
  <si>
    <t>长沙雅贝康</t>
  </si>
  <si>
    <t>IMJT-B-MLS-HK-5001069-25-1</t>
  </si>
  <si>
    <t>汕头市青年牙博士</t>
  </si>
  <si>
    <t>唐昊喆</t>
  </si>
  <si>
    <t>SIJT-C-MLS-HK-25-0004</t>
  </si>
  <si>
    <t>宁波甬创兴华医疗管理有限公司</t>
  </si>
  <si>
    <t>BIJT-B-JX-HK-25A-25-0001</t>
  </si>
  <si>
    <t>泉州安格尔</t>
  </si>
  <si>
    <t>SIJT-C-LS-HK-25A-25-0003</t>
  </si>
  <si>
    <t>梅州泽山</t>
  </si>
  <si>
    <t>SIJT-C-LS-HK-25A-25-0006</t>
  </si>
  <si>
    <t>苏州品植</t>
  </si>
  <si>
    <t>SIJT-B-MLS-HK-25-0001</t>
  </si>
  <si>
    <t>武汉德亚</t>
  </si>
  <si>
    <t>IMJT-C-LJX-HK-5100997-25-1</t>
  </si>
  <si>
    <t>上海美诺</t>
  </si>
  <si>
    <t>BIJT-A-JX-HK-25A-25-0001</t>
  </si>
  <si>
    <t>武汉德派</t>
  </si>
  <si>
    <t>大庆医大</t>
  </si>
  <si>
    <t>BIJT-C-LS-HK-25A-25-0083</t>
  </si>
  <si>
    <t>郑州臻诚医疗科技有限公司</t>
  </si>
  <si>
    <t>BIJT-C-JX-HK-25A-25-0016</t>
  </si>
  <si>
    <t>天津市河西北一口腔门诊有限公司</t>
  </si>
  <si>
    <t>BIJT-C-LS-HK-25A-25-0078</t>
  </si>
  <si>
    <t>包头市贝特瑞尔连锁管理有限公司</t>
  </si>
  <si>
    <t>SIJT-A-LJX-HK-25-0001</t>
  </si>
  <si>
    <t>上海维佳康</t>
  </si>
  <si>
    <t>IMJT-A-LJX-XK-4801498-25-2</t>
  </si>
  <si>
    <t>BIJT-C-JX-HK-25A-25-0007</t>
  </si>
  <si>
    <t>SIJT-B-LJX-HK-25-0001</t>
  </si>
  <si>
    <t>重庆牙博仕</t>
  </si>
  <si>
    <t>BIJT-C-LS-HK-25A-25-0015</t>
  </si>
  <si>
    <t>四川齿康未来医疗器械有限公司</t>
  </si>
  <si>
    <t>IMJT-C-MLS-HK-5002945-25-1</t>
  </si>
  <si>
    <t>温州口腔医院有限公司连锁</t>
  </si>
  <si>
    <t>BIJT-C-LS-HK-25A-25-0058</t>
  </si>
  <si>
    <t>天津鑫雅尔医疗管理有限公司</t>
  </si>
  <si>
    <t>IMJT-C-MLS-HK-4800341-25-1</t>
  </si>
  <si>
    <t>贵州美索斯科技有限公司</t>
  </si>
  <si>
    <t>BIJT-C-LS-HK-25A-25-0021</t>
  </si>
  <si>
    <t>博罗牙博士</t>
  </si>
  <si>
    <t>SIJT-C-LS-HK-25A-25-0013</t>
  </si>
  <si>
    <t>北京齿泰华口腔医院有限公司</t>
  </si>
  <si>
    <t>IMJT-C-LJX-YC-4801774-25-3</t>
  </si>
  <si>
    <t>马鞍山鑫马</t>
  </si>
  <si>
    <t>SIJT-C-LS-HK-25A-25-0011</t>
  </si>
  <si>
    <t>苏州海珥森医疗器械有限公司2</t>
  </si>
  <si>
    <t>SIJT-C-LS-HK-25A-25-0019</t>
  </si>
  <si>
    <t>西藏恒博医疗器械有限责任公司</t>
  </si>
  <si>
    <t>BIJT-C-LS-HK-25A-25-0072</t>
  </si>
  <si>
    <t>爱康健</t>
  </si>
  <si>
    <t>SIJT-A-MLS-HK-25-0005</t>
  </si>
  <si>
    <t>沈阳十方精诚医疗器械有限公司</t>
  </si>
  <si>
    <t>IMJT-C-MLS-HK-4000228-25-1</t>
  </si>
  <si>
    <t>常州固德熊猫</t>
  </si>
  <si>
    <t>BIJT-C-JX-HK-25A-25-0015</t>
  </si>
  <si>
    <t>中山松鼠</t>
  </si>
  <si>
    <t>BIJT-C-LS-HK-25A-25-0067</t>
  </si>
  <si>
    <t>IMJT-C-MLS-HK-4601464-25-1</t>
  </si>
  <si>
    <t>南京康贝佳</t>
  </si>
  <si>
    <t>沈阳德亿康商贸有限公司</t>
  </si>
  <si>
    <t>BIJT-C-LS-HK-25A-25-0016</t>
  </si>
  <si>
    <t>如皋牙医</t>
  </si>
  <si>
    <t>TIJT-C-JXS-HK-25A-25-0001</t>
  </si>
  <si>
    <t>南京和裕医疗器械有限公司2</t>
  </si>
  <si>
    <t>SIJT-C-MLS-HK-25-0005</t>
  </si>
  <si>
    <t>江苏沪牙卫士医疗器械有限公司</t>
  </si>
  <si>
    <t>IMTJ-B-LJX-XK-3100743-25-1</t>
  </si>
  <si>
    <t>长沙春芽</t>
  </si>
  <si>
    <t>BIJT-B-JX-XK-25A-25-0001</t>
  </si>
  <si>
    <t>张家口玛格</t>
  </si>
  <si>
    <t>SIJT-A-LJX-HK-25-0004</t>
  </si>
  <si>
    <t>广安医贸惠众药业有限公司</t>
  </si>
  <si>
    <t>TIJT-C-LS-HK-25A-25-0002</t>
  </si>
  <si>
    <t>大厂立康</t>
  </si>
  <si>
    <t>BIJT-A-JX-HK-25A-25-0005</t>
  </si>
  <si>
    <t>合肥佳德</t>
  </si>
  <si>
    <t>BIJT-C-LS-HK-25A-25-0065</t>
  </si>
  <si>
    <t>郑州唯美</t>
  </si>
  <si>
    <t>IMJT-B-MLS-HK-4801538-25-1</t>
  </si>
  <si>
    <t>诸暨浙绍</t>
  </si>
  <si>
    <t>BIJT-A-JX-HK-25A-25-0002</t>
  </si>
  <si>
    <t>徐州牙管家</t>
  </si>
  <si>
    <t>BIJT-C-LS-HK-25A-25-0030</t>
  </si>
  <si>
    <t>成都星华美电子商务有限公司</t>
  </si>
  <si>
    <t>BIJT-A-JX-HK-25A-25-0004</t>
  </si>
  <si>
    <t>昆山苏迈尔</t>
  </si>
  <si>
    <t>BIJT-C-LS-HK-25A-25-0019</t>
  </si>
  <si>
    <t>北京华烨新北口腔有限公司</t>
  </si>
  <si>
    <t>IMJT-A-MLS-HK-5002208-25-1</t>
  </si>
  <si>
    <t>邢台宏皓</t>
  </si>
  <si>
    <t>SIJT-A-MLS-HK-25-0006</t>
  </si>
  <si>
    <t>成都圣贝</t>
  </si>
  <si>
    <t>SIJT-C-LS-HK-25A-25-0010</t>
  </si>
  <si>
    <t>无锡金汇</t>
  </si>
  <si>
    <t>IMJT-B-MLS-HK-4800025-25-1</t>
  </si>
  <si>
    <t>重庆臻时代</t>
  </si>
  <si>
    <t>IMJT-A-LJX-HK-3100905-25-1</t>
  </si>
  <si>
    <t>永齐</t>
  </si>
  <si>
    <t>BIJT-C-LS-HK-25A-25-0037</t>
  </si>
  <si>
    <t>徐州正博口腔医院有限公司</t>
  </si>
  <si>
    <t>BIJT-C-LS-HK-25A-25-0006</t>
  </si>
  <si>
    <t>BIJT-C-JX-XK-25A-25-0004</t>
  </si>
  <si>
    <t>北京雅宁</t>
  </si>
  <si>
    <t>BIJT-C-LS-HK-25A-25-0027</t>
  </si>
  <si>
    <t>北京劲松</t>
  </si>
  <si>
    <t>BIJT-C-LS-HK-25A-25-0041</t>
  </si>
  <si>
    <t>云南爱雅齿辉口腔医院有限公司广居路分公司</t>
  </si>
  <si>
    <t>BIJT-C-LS-HK-25A-25-0073</t>
  </si>
  <si>
    <t>杭州亮贝美口腔连锁</t>
  </si>
  <si>
    <t>BIJT-C-LS-HK-25A-25-0001</t>
  </si>
  <si>
    <t>金华博瑞迪医疗</t>
  </si>
  <si>
    <t>上海西大口腔诊所有限公司</t>
  </si>
  <si>
    <t>BIJT-C-LS-HK-25A-25-0002</t>
  </si>
  <si>
    <t>西昌春城口腔门诊部有限公司</t>
  </si>
  <si>
    <t>SIJT-C-LS-HK-25A-25-0015</t>
  </si>
  <si>
    <t>山西齿科医院</t>
  </si>
  <si>
    <t>IMJT-A-LJX-HK-5200757-25-1</t>
  </si>
  <si>
    <t>上海龙阖医疗器械科技有限公司</t>
  </si>
  <si>
    <t>TIJT-C-LS-HK-25A-25-0008</t>
  </si>
  <si>
    <t>众植齿科医院</t>
  </si>
  <si>
    <t>BIJT-C-LS-HK-25A-25-0084</t>
  </si>
  <si>
    <t>上海伊尔意口腔门诊部有限公司</t>
  </si>
  <si>
    <t>BIJT-B-JX-HK-25A-25-0005</t>
  </si>
  <si>
    <t>深圳尔睦丽沙口腔</t>
  </si>
  <si>
    <t>BIJT-C-LS-HK-25A-25-0046</t>
  </si>
  <si>
    <t>深圳河山口腔</t>
  </si>
  <si>
    <t>深圳尚创峰口腔门诊部</t>
  </si>
  <si>
    <t>TIJT-C-LS-HK-25A-25-0005</t>
  </si>
  <si>
    <t>盐城晋瑞口腔门诊部有限公司</t>
  </si>
  <si>
    <t>SIJT-B-MLS-HK-25-0003</t>
  </si>
  <si>
    <t>金华蓝芽口腔连锁</t>
  </si>
  <si>
    <t>BIJT-C-JX-XK-25A-25-0003</t>
  </si>
  <si>
    <t>惠州精英</t>
  </si>
  <si>
    <t>BIJT-C-LS-HK-25A-25-0074</t>
  </si>
  <si>
    <t>江苏博伢(南京茀莱堡口腔医院)</t>
  </si>
  <si>
    <t>BIJT-C-LS-HK-25A-25-0075</t>
  </si>
  <si>
    <t>芜湖市江城口腔有限责任公司</t>
  </si>
  <si>
    <t>SIJT-C-LS-HK-25A-25-0020</t>
  </si>
  <si>
    <t>嘉兴雅贝恩口腔连锁</t>
  </si>
  <si>
    <t>TIJT-C-LS-HK-25A-25-0009</t>
  </si>
  <si>
    <t>迁安雅美</t>
  </si>
  <si>
    <t>BIJT-C-LS-HK-25A-25-0042</t>
  </si>
  <si>
    <t>包头市京卓口腔门诊部有限公司</t>
  </si>
  <si>
    <t>BIJT-C-LS-HK-25A-25-0028</t>
  </si>
  <si>
    <t>北京首口</t>
  </si>
  <si>
    <t>BIJT-C-LS-HK-25A-25-0039</t>
  </si>
  <si>
    <t>唐山博尔</t>
  </si>
  <si>
    <t>SIJT-A-LJX-HK-25-0002</t>
  </si>
  <si>
    <t>BIJT-C-LS-HK-25A-25-0049</t>
  </si>
  <si>
    <t>长沙正念-好牙依</t>
  </si>
  <si>
    <t>BIJT-C-LS-XK-25A-25-0002</t>
  </si>
  <si>
    <t>云南亚云</t>
  </si>
  <si>
    <t>BIJT-C-JX-HK-25A-25-0010</t>
  </si>
  <si>
    <t>宁波牙博士2</t>
  </si>
  <si>
    <t>SIJT-C-LS-HK-25A-25-0004</t>
  </si>
  <si>
    <t>南京蓝鲟</t>
  </si>
  <si>
    <t>北京瑞尔</t>
  </si>
  <si>
    <t>SIJT-C-LJX-HK-25-0001</t>
  </si>
  <si>
    <t>玉溪舒尔</t>
  </si>
  <si>
    <t>BIJT-C-LS-HK-25A-25-0085</t>
  </si>
  <si>
    <t>江门市健森医疗器械有限公司</t>
  </si>
  <si>
    <t>BIJT-C-JX-HK-25A-25-0018</t>
  </si>
  <si>
    <t>江西贝尔医疗科技有限公司</t>
  </si>
  <si>
    <t>金海莱蒽2</t>
  </si>
  <si>
    <t>BIJT-C-JX-HK-25A-25-0017</t>
  </si>
  <si>
    <t>深圳君信</t>
  </si>
  <si>
    <t>BIJT-C-LS-HK-25A-25-0014</t>
  </si>
  <si>
    <t>杭州品凯</t>
  </si>
  <si>
    <t>BIJT-C-LS-HK-25A-25-0005</t>
  </si>
  <si>
    <t>长兴医疗器械公司</t>
  </si>
  <si>
    <t>SIJT-C-LS-HK-25A-25-0018</t>
  </si>
  <si>
    <t>湖北仁美</t>
  </si>
  <si>
    <t>BIJT-C-LS-HK-25A-25-0054</t>
  </si>
  <si>
    <t>宣城市为民口腔门诊部</t>
  </si>
  <si>
    <t>TIJT-A-ZLS-HK-25-3200508-25-1</t>
  </si>
  <si>
    <t>滨州瑞佳口腔医院有限公司</t>
  </si>
  <si>
    <t>众植博士</t>
  </si>
  <si>
    <t>IMJT-A-LJX-HK-3001090-25-1</t>
  </si>
  <si>
    <t>徐州诺恩口腔门诊部有限公司</t>
  </si>
  <si>
    <t>东莞东城百花2</t>
  </si>
  <si>
    <t>BIJT-C-LS-HK-25A-25-0076</t>
  </si>
  <si>
    <t>河北惟德口腔</t>
  </si>
  <si>
    <t>BIJT-C-LS-HK-25A-25-0022</t>
  </si>
  <si>
    <t>上海健曜医疗器械有限公司2</t>
  </si>
  <si>
    <t>BIJT-C-LS-HK-25A-25-0056</t>
  </si>
  <si>
    <t>南京新亚医疗器械有限公司2</t>
  </si>
  <si>
    <t>长沙牙祖口腔门诊部有限公司</t>
  </si>
  <si>
    <t>惠州口腔</t>
  </si>
  <si>
    <t>石家庄双合口腔</t>
  </si>
  <si>
    <t>烟台枫林医疗器械销售有限公司</t>
  </si>
  <si>
    <t>西安碑林大象口腔门诊部有限公司</t>
  </si>
  <si>
    <t>西宁事业部</t>
  </si>
  <si>
    <t>山东通汇医疗科技有限公司</t>
  </si>
  <si>
    <t>安徽摩汀口腔门诊有限公司</t>
  </si>
  <si>
    <t>重庆玖和医疗器械有限公司</t>
  </si>
  <si>
    <t>青岛柏瑞西诺德口腔门诊部</t>
  </si>
  <si>
    <t>上海鼎植</t>
  </si>
  <si>
    <t>杭州修元口腔</t>
  </si>
  <si>
    <t>苏州市相城区元和牙先生口腔诊所有限公司</t>
  </si>
  <si>
    <t>蚌埠皓芽口腔门诊部有限公司</t>
  </si>
  <si>
    <t>湖州伊雅医疗器械有限公司</t>
  </si>
  <si>
    <t>银川市兴庆区名仁口腔诊所</t>
  </si>
  <si>
    <t>合肥数智医疗管理有限公司</t>
  </si>
  <si>
    <t>郴州市植贝尔口腔有限公司</t>
  </si>
  <si>
    <t>泉州海丝口腔医院有限公司</t>
  </si>
  <si>
    <t>陌客尔2</t>
  </si>
  <si>
    <t>博罗牙博士2</t>
  </si>
  <si>
    <t>西宁蓝刺猬口腔门诊有限公司</t>
  </si>
  <si>
    <t>上海信智医疗器械有限公司</t>
  </si>
  <si>
    <t>北京劲松2</t>
  </si>
  <si>
    <t>东莞东城百花3</t>
  </si>
  <si>
    <t>26年/1月</t>
  </si>
  <si>
    <t>杭州通策</t>
  </si>
  <si>
    <t>植之道2</t>
  </si>
  <si>
    <t>滨海冠华口腔门诊部有限公司</t>
  </si>
  <si>
    <t>26年/2月</t>
  </si>
  <si>
    <t>诸暨杭成口腔门诊部有限公司</t>
  </si>
  <si>
    <t>南京和裕医疗器械有限公司3</t>
  </si>
  <si>
    <t>26年/3月</t>
  </si>
  <si>
    <t>西藏恒博医疗器械有限责任公司2</t>
  </si>
  <si>
    <t>品杰口腔</t>
  </si>
  <si>
    <t>忠贲医疗</t>
  </si>
  <si>
    <t>常州今日</t>
  </si>
  <si>
    <t>合肥爱尔美口腔门诊部有限公司</t>
  </si>
  <si>
    <t>北京优贝2</t>
  </si>
  <si>
    <t>北京顺德2</t>
  </si>
  <si>
    <t>泰州玲珑口腔</t>
  </si>
  <si>
    <t>安徽静泽医疗器械有限公司</t>
  </si>
  <si>
    <t>취소계약제외</t>
    <phoneticPr fontId="14" type="noConversion"/>
  </si>
  <si>
    <t>사업부</t>
    <phoneticPr fontId="14" type="noConversion"/>
  </si>
  <si>
    <t>계약번호</t>
    <phoneticPr fontId="14" type="noConversion"/>
  </si>
  <si>
    <t>등급</t>
    <phoneticPr fontId="14" type="noConversion"/>
  </si>
  <si>
    <t>계약횟수</t>
    <phoneticPr fontId="14" type="noConversion"/>
  </si>
  <si>
    <t>소진율</t>
    <phoneticPr fontId="14" type="noConversion"/>
  </si>
  <si>
    <t>국내OIC</t>
    <phoneticPr fontId="14" type="noConversion"/>
  </si>
  <si>
    <t>해외OIC</t>
    <phoneticPr fontId="14" type="noConversion"/>
  </si>
  <si>
    <t>福州福仁采销科技有限公司</t>
  </si>
  <si>
    <t>广德阳光口腔医院有限公司</t>
  </si>
  <si>
    <t>昆明久植医疗器械有限公司</t>
  </si>
  <si>
    <t>天津鑫雅尔医疗管理有限公司2</t>
  </si>
  <si>
    <t>杭州亮贝美口腔连锁2</t>
  </si>
  <si>
    <t>BIJT-C-LS-HK-25A-25-0095</t>
  </si>
  <si>
    <t>BIJT-C-LS-HK-25A-25-0096</t>
  </si>
  <si>
    <t>BIJT-B-LS-HK-25A-25-0013</t>
  </si>
  <si>
    <t>SIJT-B-JX-HK-25A-26-0001</t>
  </si>
  <si>
    <t>BIJT-C-LS-XK-25A-25-0007</t>
  </si>
  <si>
    <t>SIJT-B-LS-HK-25A-25-0001</t>
  </si>
  <si>
    <t>BIJT-C-LS-HK-25A-25-0094</t>
  </si>
  <si>
    <t>BIJT-C-JX-HK-25A-25-0028</t>
  </si>
  <si>
    <t>BIJT-C-LS-HK-25A-25-0090</t>
  </si>
  <si>
    <t>BIJT-C-JX-HK-25A-25-0027</t>
  </si>
  <si>
    <t>SIJT-C-LS-HK-25A-25-0021</t>
  </si>
  <si>
    <t>SIJT-A-JX-HK-25A-26-0002</t>
  </si>
  <si>
    <t>BIJT-A-JX-HK-25A-25-0015</t>
  </si>
  <si>
    <t>SIJT-A-JX-HK-25A-25-0006</t>
  </si>
  <si>
    <t>BIJT-C-LS-HK-25A-25-0089</t>
  </si>
  <si>
    <t>BIJT-B-JX-HK-25A-25-0008</t>
  </si>
  <si>
    <t>BIJT-B-LS-HK-25A-25-0012</t>
  </si>
  <si>
    <t>BIJT-C-LS-HK-25A-25-0101</t>
  </si>
  <si>
    <t>BIJT-C-JX-HK-25A-25-0024</t>
  </si>
  <si>
    <t>BIJT-A-JX-HK-25A-25-0011</t>
  </si>
  <si>
    <t>BIJT-A-JX-XK-25A-25-0001</t>
  </si>
  <si>
    <t>BIJT-A-JX-HK-25A-25-0014</t>
  </si>
  <si>
    <t>TIJT-C-LS-HK-25A-25-0013</t>
  </si>
  <si>
    <t>BIJT-C-JX-XK-25A-25-0005</t>
  </si>
  <si>
    <t>BIJT-C-JX-HK-25A-25-0021</t>
  </si>
  <si>
    <t>BIJT-C-LS-HK-25A-25-0097</t>
  </si>
  <si>
    <t>BIJT-C-LS-HK-25A-25-0133</t>
  </si>
  <si>
    <t>BIJT-C-LS-HK-25A-25-0086</t>
  </si>
  <si>
    <t>BIJT-C-JX-HK-25A-25-0023</t>
  </si>
  <si>
    <t>BITJ-C-LS-HK-25A-25-0002</t>
  </si>
  <si>
    <t>BIJT-C-LS-XK-25A-25-0006</t>
  </si>
  <si>
    <t>BIJT-C-JX-HK-25A-25-0009</t>
  </si>
  <si>
    <t>SIJT-A-JX-HK-25A-25-0007</t>
  </si>
  <si>
    <t>BIJT-C-JX-HK-25A-25-0025</t>
  </si>
  <si>
    <t>BIJT-C-LS-XK-25A-25-0004</t>
  </si>
  <si>
    <t>SIJT-A-LS-HK-25A-26-0001</t>
  </si>
  <si>
    <t>SIJT-A-JX-HK-25A-26-0001</t>
  </si>
  <si>
    <t>BIJT-A-JX-HK-25A-26-0001</t>
  </si>
  <si>
    <t>BIJT-C-LS-HK-25A-26-0001</t>
  </si>
  <si>
    <t>BIJT-C-LS-HK-25A-26-0002</t>
  </si>
  <si>
    <t>BIJT-A-JX-HK-25A-26-0003</t>
  </si>
  <si>
    <t>BIJT-A-JX-HK-25A-26-0004</t>
  </si>
  <si>
    <t>BIJT-C-LS-HK-25A-26-0004</t>
  </si>
  <si>
    <t>BIJT-C-JX-HK-25A-26-0002</t>
  </si>
  <si>
    <t>BIJT-A-JX-HK-25A-26-0005</t>
  </si>
  <si>
    <t>BIJT-C-LS-HK-25A-26-0006</t>
  </si>
  <si>
    <t>BIJT-C-LS-HK-25A-26-0008</t>
  </si>
  <si>
    <t>BIJT-B-LS-XK-25A-26-0002</t>
  </si>
  <si>
    <t>BIJT-B-LS-XK-25A-26-0003</t>
  </si>
  <si>
    <t>BIJT-B-LS-HK-25A-26-0001</t>
  </si>
  <si>
    <t>BIJT-C-LS-HK-25A-26-0009</t>
  </si>
  <si>
    <t>BIJT-C-LS-HK-25A-26-0011</t>
  </si>
  <si>
    <t>SIJT-A-JX-HK-25A-26-0003</t>
  </si>
  <si>
    <t>TIJT-A-JXS-HK-25A-26-0002</t>
  </si>
  <si>
    <t>BIJT-B-LS-HK-25A-26-0002</t>
  </si>
  <si>
    <t>계약 기본사항</t>
    <phoneticPr fontId="3" type="noConversion"/>
  </si>
  <si>
    <t>계약진행현황</t>
    <phoneticPr fontId="3" type="noConversion"/>
  </si>
  <si>
    <t>진행율</t>
    <phoneticPr fontId="3" type="noConversion"/>
  </si>
  <si>
    <t>그룹명</t>
    <phoneticPr fontId="3" type="noConversion"/>
  </si>
  <si>
    <t>사업부</t>
    <phoneticPr fontId="3" type="noConversion"/>
  </si>
  <si>
    <t>등급</t>
    <phoneticPr fontId="3" type="noConversion"/>
  </si>
  <si>
    <t>유효기간</t>
    <phoneticPr fontId="3" type="noConversion"/>
  </si>
  <si>
    <t>월</t>
    <phoneticPr fontId="3" type="noConversion"/>
  </si>
  <si>
    <t>갱신기간</t>
    <phoneticPr fontId="3" type="noConversion"/>
  </si>
  <si>
    <t>매출액
(세금불포함)</t>
    <phoneticPr fontId="3" type="noConversion"/>
  </si>
  <si>
    <t>fixture
(총수량)</t>
    <phoneticPr fontId="3" type="noConversion"/>
  </si>
  <si>
    <t>fixture
(0원제외)</t>
    <phoneticPr fontId="3" type="noConversion"/>
  </si>
  <si>
    <t>수금액</t>
    <phoneticPr fontId="3" type="noConversion"/>
  </si>
  <si>
    <t>계약액</t>
    <phoneticPr fontId="3" type="noConversion"/>
  </si>
  <si>
    <t>수금율</t>
    <phoneticPr fontId="3" type="noConversion"/>
  </si>
  <si>
    <t>계약달성율</t>
    <phoneticPr fontId="3" type="noConversion"/>
  </si>
  <si>
    <t>德周口腔2</t>
  </si>
  <si>
    <t>26年/4月</t>
  </si>
  <si>
    <t>刘运波集团2</t>
  </si>
  <si>
    <t>宁波桃源口腔医院有限公司</t>
  </si>
  <si>
    <t>广西粤桂时代</t>
  </si>
  <si>
    <t>武汉海柯迪医疗器械有限公司</t>
  </si>
  <si>
    <t>上海沪申五官科医院有限公司</t>
  </si>
  <si>
    <t>新余新奥口腔门诊有限公司</t>
  </si>
  <si>
    <t>그룹명</t>
    <phoneticPr fontId="14" type="noConversion"/>
  </si>
  <si>
    <t>계약횟수</t>
    <phoneticPr fontId="3" type="noConversion"/>
  </si>
  <si>
    <t>증정가능수량</t>
    <phoneticPr fontId="14" type="noConversion"/>
  </si>
  <si>
    <t>잔여수량</t>
    <phoneticPr fontId="14" type="noConversion"/>
  </si>
  <si>
    <t>사용수량</t>
    <phoneticPr fontId="14" type="noConversion"/>
  </si>
  <si>
    <t>fixture
기교환 수량</t>
    <phoneticPr fontId="14" type="noConversion"/>
  </si>
  <si>
    <t>fixture
교환 가능수량</t>
    <phoneticPr fontId="14" type="noConversion"/>
  </si>
  <si>
    <t>TOTAL</t>
  </si>
  <si>
    <t>공립사용</t>
  </si>
  <si>
    <t>시장부사용</t>
  </si>
  <si>
    <t>慈溪华阳</t>
  </si>
  <si>
    <t>26年/5月</t>
  </si>
  <si>
    <t>市口仲致雅</t>
  </si>
  <si>
    <t>象山贝瓦口腔诊所有限公司</t>
  </si>
  <si>
    <t>安徽固德</t>
  </si>
  <si>
    <t>长沙事业部</t>
  </si>
  <si>
    <t>BIJT-B-LS-HK-25A-26-0003</t>
  </si>
  <si>
    <t>SIJT-C-JX-HK-25A-26-0002</t>
  </si>
  <si>
    <t>BIJT-C-LS-HK-25A-26-0013</t>
  </si>
  <si>
    <t>BIJT-C-LS-HK-25A-26-0012</t>
  </si>
  <si>
    <t>TIJT-A-LS-HK-25A-26-0003</t>
  </si>
  <si>
    <t>TIJT-A-LS-HK-25A-26-0002</t>
  </si>
  <si>
    <t>BIJT-C-LS-HK-25A-26-0015</t>
  </si>
  <si>
    <t>BIJT-C-LS-HK-25A-26-0017</t>
  </si>
  <si>
    <t>BIJT-C-LS-HK-25A-26-0014</t>
  </si>
  <si>
    <t>BIJT-C-LS-HK-25A-26-0016</t>
  </si>
  <si>
    <t>温州口腔医院有限公司连锁2</t>
  </si>
  <si>
    <t>BIJT-C-LS-HK-25A-26-0018</t>
  </si>
  <si>
    <t>四川齿康未来医疗器械有限公司2</t>
  </si>
  <si>
    <t>BIJT-A-JX-HK-25A-26-0007</t>
  </si>
  <si>
    <t>上海隆升和医疗科技有限公司2</t>
  </si>
  <si>
    <t>BIJT-A-JX-HK-25A-26-0008</t>
  </si>
  <si>
    <t>金华博瑞迪医疗2</t>
  </si>
  <si>
    <t>BIJT-C-JX-HK-25A-26-0003</t>
  </si>
  <si>
    <t>蓝天集团2</t>
  </si>
  <si>
    <t>SIJT-B-LS-HK-25A-26-0001</t>
  </si>
  <si>
    <t>上海栗喆医疗器械有限公司</t>
  </si>
  <si>
    <t>BIJT-A-JX-HK-25A-26-0009</t>
  </si>
  <si>
    <t>26年/6月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</si>
</sst>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&quot;月&quot;"/>
    <numFmt numFmtId="178" formatCode="#,##0_);[Red]\(#,##0\)"/>
  </numFmts>
  <fonts count="33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1"/>
      <color theme="0"/>
      <name val="Malgun Gothic"/>
      <family val="2"/>
      <charset val="129"/>
    </font>
    <font>
      <sz val="10"/>
      <color theme="1"/>
      <name val="Malgun Gothic"/>
      <family val="2"/>
      <charset val="129"/>
    </font>
    <font>
      <b/>
      <sz val="10"/>
      <color theme="0"/>
      <name val="Malgun Gothic"/>
      <family val="2"/>
      <charset val="129"/>
    </font>
    <font>
      <b/>
      <sz val="10"/>
      <color theme="0"/>
      <name val="Malgun Gothic"/>
      <family val="2"/>
      <charset val="134"/>
    </font>
    <font>
      <b/>
      <sz val="10"/>
      <color theme="0"/>
      <name val="Malgun Gothic"/>
      <family val="2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  <font>
      <sz val="10"/>
      <color rgb="FFFF0000"/>
      <name val="Malgun Gothic"/>
      <family val="2"/>
      <charset val="129"/>
    </font>
    <font>
      <sz val="9"/>
      <name val="等线"/>
      <family val="3"/>
      <charset val="134"/>
      <scheme val="minor"/>
    </font>
    <font>
      <sz val="10"/>
      <color indexed="8"/>
      <name val="Malgun Gothic"/>
      <family val="2"/>
      <charset val="129"/>
    </font>
    <font>
      <b/>
      <sz val="10"/>
      <color indexed="8"/>
      <name val="Malgun Gothic"/>
      <family val="2"/>
    </font>
    <font>
      <b/>
      <sz val="10"/>
      <color rgb="FF000000"/>
      <name val="Malgun Gothic"/>
      <family val="2"/>
    </font>
    <font>
      <b/>
      <sz val="10"/>
      <color rgb="FF0000FF"/>
      <name val="Malgun Gothic"/>
      <family val="2"/>
    </font>
    <font>
      <b/>
      <sz val="11"/>
      <color rgb="FF000000"/>
      <name val="Malgun Gothic"/>
      <family val="2"/>
    </font>
    <font>
      <sz val="10"/>
      <color indexed="8"/>
      <name val="Malgun Gothic"/>
      <family val="2"/>
    </font>
    <font>
      <sz val="10"/>
      <color rgb="FFFF0000"/>
      <name val="Malgun Gothic"/>
      <family val="2"/>
    </font>
    <font>
      <sz val="10"/>
      <color rgb="FF0000FF"/>
      <name val="Malgun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9"/>
      <color indexed="81"/>
      <name val="BatangChe"/>
      <family val="3"/>
      <charset val="129"/>
    </font>
    <font>
      <b/>
      <sz val="10"/>
      <color theme="7"/>
      <name val="Malgun Gothic"/>
      <family val="2"/>
      <charset val="129"/>
    </font>
    <font>
      <b/>
      <sz val="10"/>
      <color rgb="FFFF0000"/>
      <name val="Malgun Gothic"/>
      <family val="2"/>
      <charset val="129"/>
    </font>
    <font>
      <b/>
      <sz val="10"/>
      <color indexed="8"/>
      <name val="Malgun Gothic"/>
      <family val="2"/>
      <charset val="129"/>
    </font>
    <font>
      <sz val="10"/>
      <color indexed="8"/>
      <name val="Malgun Gothic"/>
      <family val="3"/>
      <charset val="134"/>
    </font>
    <font>
      <sz val="10"/>
      <color rgb="FF000000"/>
      <name val="Malgun Gothic"/>
      <family val="2"/>
      <charset val="134"/>
    </font>
    <font>
      <sz val="10"/>
      <color theme="1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348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dashed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thin">
        <color theme="0" tint="-4.9989318521683403E-2"/>
      </top>
      <bottom style="hair">
        <color theme="1" tint="0.24994659260841701"/>
      </bottom>
      <diagonal/>
    </border>
    <border>
      <left/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/>
      <top/>
      <bottom style="hair">
        <color theme="1" tint="0.24994659260841701"/>
      </bottom>
      <diagonal/>
    </border>
    <border>
      <left/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hair">
        <color theme="1" tint="0.24994659260841701"/>
      </top>
      <bottom style="hair">
        <color theme="1" tint="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1" fontId="4" fillId="0" borderId="0" xfId="1" applyFont="1">
      <alignment vertical="center"/>
    </xf>
    <xf numFmtId="9" fontId="2" fillId="0" borderId="0" xfId="2" applyFont="1">
      <alignment vertical="center"/>
    </xf>
    <xf numFmtId="9" fontId="2" fillId="0" borderId="0" xfId="2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41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9" fontId="10" fillId="0" borderId="1" xfId="2" applyFont="1" applyBorder="1" applyAlignment="1">
      <alignment horizontal="center" vertical="center"/>
    </xf>
    <xf numFmtId="41" fontId="2" fillId="0" borderId="1" xfId="1" applyFont="1" applyBorder="1">
      <alignment vertical="center"/>
    </xf>
    <xf numFmtId="9" fontId="11" fillId="0" borderId="1" xfId="2" applyFont="1" applyBorder="1">
      <alignment vertical="center"/>
    </xf>
    <xf numFmtId="9" fontId="11" fillId="0" borderId="1" xfId="2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13" fillId="0" borderId="0" xfId="3" applyFont="1" applyAlignment="1">
      <alignment horizontal="left" vertical="center"/>
    </xf>
    <xf numFmtId="0" fontId="15" fillId="0" borderId="0" xfId="3" applyFont="1">
      <alignment vertical="center"/>
    </xf>
    <xf numFmtId="0" fontId="15" fillId="0" borderId="0" xfId="3" applyFont="1" applyAlignment="1">
      <alignment horizontal="center" vertical="center"/>
    </xf>
    <xf numFmtId="41" fontId="15" fillId="0" borderId="0" xfId="4" applyFont="1">
      <alignment vertical="center"/>
    </xf>
    <xf numFmtId="0" fontId="9" fillId="2" borderId="3" xfId="3" applyFont="1" applyFill="1" applyBorder="1">
      <alignment vertical="center"/>
    </xf>
    <xf numFmtId="0" fontId="9" fillId="2" borderId="4" xfId="3" applyFont="1" applyFill="1" applyBorder="1">
      <alignment vertical="center"/>
    </xf>
    <xf numFmtId="0" fontId="9" fillId="2" borderId="4" xfId="3" applyFont="1" applyFill="1" applyBorder="1" applyAlignment="1">
      <alignment horizontal="center" vertical="center"/>
    </xf>
    <xf numFmtId="0" fontId="16" fillId="0" borderId="0" xfId="3" applyFont="1">
      <alignment vertical="center"/>
    </xf>
    <xf numFmtId="0" fontId="9" fillId="2" borderId="6" xfId="3" applyFont="1" applyFill="1" applyBorder="1" applyAlignment="1">
      <alignment horizontal="center" vertical="center"/>
    </xf>
    <xf numFmtId="0" fontId="9" fillId="2" borderId="6" xfId="3" applyFont="1" applyFill="1" applyBorder="1">
      <alignment vertical="center"/>
    </xf>
    <xf numFmtId="0" fontId="9" fillId="2" borderId="7" xfId="3" applyFont="1" applyFill="1" applyBorder="1">
      <alignment vertical="center"/>
    </xf>
    <xf numFmtId="0" fontId="9" fillId="2" borderId="7" xfId="3" applyFont="1" applyFill="1" applyBorder="1" applyAlignment="1">
      <alignment horizontal="center" vertical="center"/>
    </xf>
    <xf numFmtId="0" fontId="9" fillId="2" borderId="8" xfId="3" applyFont="1" applyFill="1" applyBorder="1" applyAlignment="1">
      <alignment horizontal="center" vertical="center"/>
    </xf>
    <xf numFmtId="0" fontId="9" fillId="4" borderId="8" xfId="3" applyFont="1" applyFill="1" applyBorder="1" applyAlignment="1">
      <alignment horizontal="center" vertical="center"/>
    </xf>
    <xf numFmtId="0" fontId="9" fillId="4" borderId="9" xfId="3" applyFont="1" applyFill="1" applyBorder="1" applyAlignment="1">
      <alignment horizontal="center" vertical="center"/>
    </xf>
    <xf numFmtId="176" fontId="16" fillId="0" borderId="0" xfId="3" applyNumberFormat="1" applyFont="1" applyAlignment="1">
      <alignment horizontal="left" vertical="center"/>
    </xf>
    <xf numFmtId="0" fontId="20" fillId="0" borderId="16" xfId="3" applyFont="1" applyBorder="1" applyAlignment="1">
      <alignment horizontal="left" vertical="center"/>
    </xf>
    <xf numFmtId="0" fontId="20" fillId="0" borderId="17" xfId="3" applyFont="1" applyBorder="1">
      <alignment vertical="center"/>
    </xf>
    <xf numFmtId="0" fontId="20" fillId="0" borderId="17" xfId="3" applyFont="1" applyBorder="1" applyAlignment="1">
      <alignment horizontal="center" vertical="center"/>
    </xf>
    <xf numFmtId="41" fontId="20" fillId="0" borderId="17" xfId="4" applyFont="1" applyBorder="1" applyAlignment="1">
      <alignment horizontal="center" vertical="center"/>
    </xf>
    <xf numFmtId="41" fontId="20" fillId="0" borderId="18" xfId="4" applyFont="1" applyBorder="1" applyAlignment="1">
      <alignment horizontal="center" vertical="center"/>
    </xf>
    <xf numFmtId="9" fontId="20" fillId="0" borderId="17" xfId="5" applyFont="1" applyBorder="1" applyAlignment="1">
      <alignment horizontal="center" vertical="center"/>
    </xf>
    <xf numFmtId="0" fontId="22" fillId="0" borderId="0" xfId="3" applyFont="1">
      <alignment vertical="center"/>
    </xf>
    <xf numFmtId="41" fontId="20" fillId="7" borderId="17" xfId="4" applyFont="1" applyFill="1" applyBorder="1" applyAlignment="1">
      <alignment horizontal="center" vertical="center"/>
    </xf>
    <xf numFmtId="0" fontId="20" fillId="0" borderId="16" xfId="3" applyFont="1" applyBorder="1">
      <alignment vertical="center"/>
    </xf>
    <xf numFmtId="0" fontId="20" fillId="0" borderId="18" xfId="3" applyFont="1" applyBorder="1">
      <alignment vertical="center"/>
    </xf>
    <xf numFmtId="14" fontId="7" fillId="2" borderId="1" xfId="0" applyNumberFormat="1" applyFont="1" applyFill="1" applyBorder="1" applyAlignment="1">
      <alignment horizontal="center" vertical="center"/>
    </xf>
    <xf numFmtId="14" fontId="27" fillId="2" borderId="1" xfId="0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9" fillId="2" borderId="3" xfId="3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9" fillId="2" borderId="4" xfId="3" applyFont="1" applyFill="1" applyBorder="1" applyAlignment="1">
      <alignment horizontal="center" vertical="center" wrapText="1"/>
    </xf>
    <xf numFmtId="0" fontId="9" fillId="2" borderId="7" xfId="3" applyFont="1" applyFill="1" applyBorder="1" applyAlignment="1">
      <alignment horizontal="center" vertical="center" wrapText="1"/>
    </xf>
    <xf numFmtId="0" fontId="9" fillId="4" borderId="5" xfId="3" applyFont="1" applyFill="1" applyBorder="1" applyAlignment="1">
      <alignment horizontal="center" vertical="center"/>
    </xf>
    <xf numFmtId="0" fontId="9" fillId="4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/>
    </xf>
    <xf numFmtId="0" fontId="9" fillId="5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 wrapText="1"/>
    </xf>
    <xf numFmtId="0" fontId="9" fillId="5" borderId="6" xfId="3" applyFont="1" applyFill="1" applyBorder="1" applyAlignment="1">
      <alignment horizontal="center" vertical="center" wrapText="1"/>
    </xf>
    <xf numFmtId="176" fontId="17" fillId="6" borderId="10" xfId="0" applyNumberFormat="1" applyFont="1" applyFill="1" applyBorder="1" applyAlignment="1">
      <alignment horizontal="center" vertical="center"/>
    </xf>
    <xf numFmtId="176" fontId="17" fillId="6" borderId="10" xfId="0" applyNumberFormat="1" applyFont="1" applyFill="1" applyBorder="1" applyAlignment="1">
      <alignment horizontal="left" vertical="center"/>
    </xf>
    <xf numFmtId="176" fontId="17" fillId="6" borderId="11" xfId="0" applyNumberFormat="1" applyFont="1" applyFill="1" applyBorder="1" applyAlignment="1">
      <alignment horizontal="left" vertical="center"/>
    </xf>
    <xf numFmtId="178" fontId="17" fillId="6" borderId="11" xfId="0" applyNumberFormat="1" applyFont="1" applyFill="1" applyBorder="1" applyAlignment="1">
      <alignment horizontal="center" vertical="center"/>
    </xf>
    <xf numFmtId="178" fontId="17" fillId="6" borderId="11" xfId="0" applyNumberFormat="1" applyFont="1" applyFill="1" applyBorder="1" applyAlignment="1">
      <alignment horizontal="left" vertical="center"/>
    </xf>
    <xf numFmtId="178" fontId="18" fillId="6" borderId="11" xfId="0" applyNumberFormat="1" applyFont="1" applyFill="1" applyBorder="1" applyAlignment="1">
      <alignment horizontal="left" vertical="center"/>
    </xf>
    <xf numFmtId="178" fontId="18" fillId="6" borderId="12" xfId="0" applyNumberFormat="1" applyFont="1" applyFill="1" applyBorder="1" applyAlignment="1">
      <alignment horizontal="left" vertical="center"/>
    </xf>
    <xf numFmtId="9" fontId="18" fillId="6" borderId="11" xfId="5" applyFont="1" applyFill="1" applyBorder="1" applyAlignment="1">
      <alignment horizontal="left" vertical="center"/>
    </xf>
    <xf numFmtId="178" fontId="17" fillId="6" borderId="11" xfId="4" applyNumberFormat="1" applyFont="1" applyFill="1" applyBorder="1" applyAlignment="1">
      <alignment horizontal="left" vertical="center"/>
    </xf>
    <xf numFmtId="176" fontId="17" fillId="6" borderId="13" xfId="0" applyNumberFormat="1" applyFont="1" applyFill="1" applyBorder="1" applyAlignment="1">
      <alignment horizontal="center" vertical="center"/>
    </xf>
    <xf numFmtId="176" fontId="17" fillId="6" borderId="13" xfId="0" applyNumberFormat="1" applyFont="1" applyFill="1" applyBorder="1" applyAlignment="1">
      <alignment horizontal="left" vertical="center"/>
    </xf>
    <xf numFmtId="176" fontId="19" fillId="6" borderId="14" xfId="0" applyNumberFormat="1" applyFont="1" applyFill="1" applyBorder="1" applyAlignment="1">
      <alignment horizontal="center" vertical="center"/>
    </xf>
    <xf numFmtId="176" fontId="17" fillId="6" borderId="14" xfId="0" applyNumberFormat="1" applyFont="1" applyFill="1" applyBorder="1" applyAlignment="1">
      <alignment horizontal="left" vertical="center"/>
    </xf>
    <xf numFmtId="178" fontId="17" fillId="6" borderId="14" xfId="0" applyNumberFormat="1" applyFont="1" applyFill="1" applyBorder="1" applyAlignment="1">
      <alignment horizontal="center" vertical="center"/>
    </xf>
    <xf numFmtId="178" fontId="17" fillId="6" borderId="14" xfId="0" applyNumberFormat="1" applyFont="1" applyFill="1" applyBorder="1" applyAlignment="1">
      <alignment horizontal="left" vertical="center"/>
    </xf>
    <xf numFmtId="178" fontId="18" fillId="6" borderId="14" xfId="0" applyNumberFormat="1" applyFont="1" applyFill="1" applyBorder="1" applyAlignment="1">
      <alignment horizontal="left" vertical="center"/>
    </xf>
    <xf numFmtId="178" fontId="18" fillId="6" borderId="15" xfId="0" applyNumberFormat="1" applyFont="1" applyFill="1" applyBorder="1" applyAlignment="1">
      <alignment horizontal="left" vertical="center"/>
    </xf>
    <xf numFmtId="9" fontId="18" fillId="6" borderId="14" xfId="5" applyFont="1" applyFill="1" applyBorder="1" applyAlignment="1">
      <alignment horizontal="left" vertical="center"/>
    </xf>
    <xf numFmtId="178" fontId="17" fillId="6" borderId="14" xfId="4" applyNumberFormat="1" applyFont="1" applyFill="1" applyBorder="1" applyAlignment="1">
      <alignment horizontal="left" vertical="center"/>
    </xf>
    <xf numFmtId="178" fontId="17" fillId="6" borderId="15" xfId="4" applyNumberFormat="1" applyFont="1" applyFill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>
      <alignment vertical="center"/>
    </xf>
    <xf numFmtId="0" fontId="20" fillId="0" borderId="17" xfId="0" applyFont="1" applyBorder="1" applyAlignment="1">
      <alignment horizontal="center" vertical="center"/>
    </xf>
    <xf numFmtId="41" fontId="20" fillId="0" borderId="18" xfId="4" applyFont="1" applyBorder="1">
      <alignment vertical="center"/>
    </xf>
    <xf numFmtId="0" fontId="21" fillId="0" borderId="17" xfId="0" applyFont="1" applyBorder="1">
      <alignment vertical="center"/>
    </xf>
    <xf numFmtId="0" fontId="28" fillId="8" borderId="17" xfId="0" applyFont="1" applyFill="1" applyBorder="1" applyAlignment="1">
      <alignment horizontal="center" vertical="center"/>
    </xf>
    <xf numFmtId="0" fontId="29" fillId="0" borderId="16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30" fillId="0" borderId="16" xfId="0" applyFont="1" applyBorder="1" applyAlignment="1">
      <alignment horizontal="left" vertical="center"/>
    </xf>
    <xf numFmtId="0" fontId="20" fillId="0" borderId="18" xfId="4" applyNumberFormat="1" applyFont="1" applyBorder="1">
      <alignment vertical="center"/>
    </xf>
    <xf numFmtId="0" fontId="31" fillId="0" borderId="16" xfId="0" applyFont="1" applyBorder="1" applyAlignment="1">
      <alignment horizontal="left" vertical="center"/>
    </xf>
    <xf numFmtId="0" fontId="32" fillId="0" borderId="1" xfId="0" applyFont="1" applyBorder="1">
      <alignment vertical="center"/>
    </xf>
    <xf numFmtId="0" fontId="32" fillId="0" borderId="1" xfId="0" applyFont="1" applyBorder="1" applyAlignment="1">
      <alignment horizontal="center" vertical="center"/>
    </xf>
    <xf numFmtId="14" fontId="32" fillId="0" borderId="1" xfId="0" applyNumberFormat="1" applyFont="1" applyBorder="1" applyAlignment="1">
      <alignment horizontal="center" vertical="center"/>
    </xf>
    <xf numFmtId="177" fontId="32" fillId="0" borderId="1" xfId="0" applyNumberFormat="1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center" vertical="center"/>
    </xf>
    <xf numFmtId="41" fontId="32" fillId="0" borderId="1" xfId="1" applyFont="1" applyBorder="1">
      <alignment vertical="center"/>
    </xf>
  </cellXfs>
  <cellStyles count="6">
    <cellStyle name="백분율" xfId="2" builtinId="5"/>
    <cellStyle name="백분율 2" xfId="5" xr:uid="{AF9F9733-1FB6-458A-9170-B844D82421AB}"/>
    <cellStyle name="쉼표 [0]" xfId="1" builtinId="6"/>
    <cellStyle name="쉼표 [0] 2" xfId="4" xr:uid="{6DEF4736-A82D-46F1-8C83-6BBDFF8F7CE0}"/>
    <cellStyle name="표준" xfId="0" builtinId="0"/>
    <cellStyle name="표준 2" xfId="3" xr:uid="{93B18076-440F-4C22-8412-54942F784DA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0AA3-7847-43FF-850D-8AA0BAEE724E}">
  <sheetPr>
    <pageSetUpPr fitToPage="1"/>
  </sheetPr>
  <dimension ref="A1:O251"/>
  <sheetViews>
    <sheetView showGridLines="0" tabSelected="1" zoomScale="90" zoomScaleNormal="90" workbookViewId="0">
      <pane ySplit="3" topLeftCell="A151" activePane="bottomLeft" state="frozen"/>
      <selection pane="bottomLeft" activeCell="O228" sqref="O228"/>
    </sheetView>
  </sheetViews>
  <sheetFormatPr defaultRowHeight="13" x14ac:dyDescent="0.3"/>
  <cols>
    <col min="1" max="1" width="1.9140625" style="1" customWidth="1"/>
    <col min="2" max="2" width="27.6640625" style="16" customWidth="1"/>
    <col min="3" max="3" width="12.25" style="17" customWidth="1"/>
    <col min="4" max="4" width="8.6640625" style="17"/>
    <col min="5" max="5" width="10.33203125" style="18" customWidth="1"/>
    <col min="6" max="6" width="9.58203125" style="19" customWidth="1"/>
    <col min="7" max="7" width="9.58203125" style="18" customWidth="1"/>
    <col min="8" max="8" width="8.33203125" style="20" customWidth="1"/>
    <col min="9" max="9" width="13.08203125" style="16" bestFit="1" customWidth="1"/>
    <col min="10" max="10" width="10.75" style="16" customWidth="1"/>
    <col min="11" max="11" width="10.9140625" style="16" customWidth="1"/>
    <col min="12" max="12" width="13.9140625" style="22" customWidth="1"/>
    <col min="13" max="13" width="11.58203125" style="16" customWidth="1"/>
    <col min="14" max="14" width="8.6640625" style="23"/>
    <col min="15" max="15" width="10.75" style="24" customWidth="1"/>
    <col min="16" max="16" width="8.9140625" style="1" customWidth="1"/>
    <col min="17" max="16384" width="8.6640625" style="1"/>
  </cols>
  <sheetData>
    <row r="1" spans="1:15" x14ac:dyDescent="0.3">
      <c r="B1" s="1"/>
      <c r="C1" s="2"/>
      <c r="D1" s="2"/>
      <c r="E1" s="3"/>
      <c r="F1" s="2"/>
      <c r="G1" s="3"/>
      <c r="H1" s="4"/>
      <c r="I1" s="5"/>
      <c r="J1" s="5"/>
      <c r="K1" s="5"/>
      <c r="L1" s="5"/>
      <c r="M1" s="5"/>
      <c r="N1" s="6"/>
      <c r="O1" s="7"/>
    </row>
    <row r="2" spans="1:15" ht="26" customHeight="1" x14ac:dyDescent="0.3">
      <c r="B2" s="56" t="s">
        <v>491</v>
      </c>
      <c r="C2" s="57"/>
      <c r="D2" s="57"/>
      <c r="E2" s="57"/>
      <c r="F2" s="57"/>
      <c r="G2" s="57"/>
      <c r="H2" s="58"/>
      <c r="I2" s="59" t="s">
        <v>492</v>
      </c>
      <c r="J2" s="60"/>
      <c r="K2" s="60"/>
      <c r="L2" s="60"/>
      <c r="M2" s="61"/>
      <c r="N2" s="62" t="s">
        <v>493</v>
      </c>
      <c r="O2" s="63"/>
    </row>
    <row r="3" spans="1:15" s="2" customFormat="1" ht="32" x14ac:dyDescent="0.3">
      <c r="A3" s="8"/>
      <c r="B3" s="9" t="s">
        <v>494</v>
      </c>
      <c r="C3" s="9" t="s">
        <v>495</v>
      </c>
      <c r="D3" s="9" t="s">
        <v>496</v>
      </c>
      <c r="E3" s="52" t="s">
        <v>497</v>
      </c>
      <c r="F3" s="10" t="s">
        <v>498</v>
      </c>
      <c r="G3" s="53" t="s">
        <v>499</v>
      </c>
      <c r="H3" s="54" t="s">
        <v>516</v>
      </c>
      <c r="I3" s="11" t="s">
        <v>500</v>
      </c>
      <c r="J3" s="11" t="s">
        <v>501</v>
      </c>
      <c r="K3" s="11" t="s">
        <v>502</v>
      </c>
      <c r="L3" s="12" t="s">
        <v>503</v>
      </c>
      <c r="M3" s="13" t="s">
        <v>504</v>
      </c>
      <c r="N3" s="14" t="s">
        <v>505</v>
      </c>
      <c r="O3" s="15" t="s">
        <v>506</v>
      </c>
    </row>
    <row r="4" spans="1:15" x14ac:dyDescent="0.3">
      <c r="B4" s="104" t="s">
        <v>244</v>
      </c>
      <c r="C4" s="105" t="s">
        <v>6</v>
      </c>
      <c r="D4" s="105" t="s">
        <v>3</v>
      </c>
      <c r="E4" s="106">
        <v>45790</v>
      </c>
      <c r="F4" s="107">
        <v>5</v>
      </c>
      <c r="G4" s="106"/>
      <c r="H4" s="108">
        <v>1</v>
      </c>
      <c r="I4" s="109">
        <v>3020340.97</v>
      </c>
      <c r="J4" s="109">
        <v>5486</v>
      </c>
      <c r="K4" s="109">
        <v>5406</v>
      </c>
      <c r="L4" s="109">
        <v>3294761.77</v>
      </c>
      <c r="M4" s="109">
        <v>4700000</v>
      </c>
      <c r="N4" s="21">
        <f>IFERROR(L4/I4,"")</f>
        <v>1.0908575563903964</v>
      </c>
      <c r="O4" s="21">
        <f>IF(D4="a",K4/25000,IF(D4="b",K4/15000,IF(D4="c",K4/5000)))/H4</f>
        <v>1.0811999999999999</v>
      </c>
    </row>
    <row r="5" spans="1:15" x14ac:dyDescent="0.3">
      <c r="B5" s="104" t="s">
        <v>529</v>
      </c>
      <c r="C5" s="105" t="s">
        <v>42</v>
      </c>
      <c r="D5" s="105" t="s">
        <v>3</v>
      </c>
      <c r="E5" s="106">
        <v>46155</v>
      </c>
      <c r="F5" s="107" t="s">
        <v>526</v>
      </c>
      <c r="G5" s="106"/>
      <c r="H5" s="108">
        <v>1</v>
      </c>
      <c r="I5" s="109">
        <v>9926.8500000000022</v>
      </c>
      <c r="J5" s="109">
        <v>33</v>
      </c>
      <c r="K5" s="109">
        <v>33</v>
      </c>
      <c r="L5" s="109">
        <v>9857.68</v>
      </c>
      <c r="M5" s="109">
        <v>2500000</v>
      </c>
      <c r="N5" s="21">
        <f>IFERROR(L5/I5,"")</f>
        <v>0.99303202929428758</v>
      </c>
      <c r="O5" s="21">
        <f>IF(D5="a",K5/25000,IF(D5="b",K5/15000,IF(D5="c",K5/5000)))/H5</f>
        <v>6.6E-3</v>
      </c>
    </row>
    <row r="6" spans="1:15" x14ac:dyDescent="0.3">
      <c r="B6" s="104" t="s">
        <v>422</v>
      </c>
      <c r="C6" s="105" t="s">
        <v>42</v>
      </c>
      <c r="D6" s="105" t="s">
        <v>3</v>
      </c>
      <c r="E6" s="106">
        <v>46092</v>
      </c>
      <c r="F6" s="107" t="s">
        <v>413</v>
      </c>
      <c r="G6" s="106"/>
      <c r="H6" s="108">
        <v>1</v>
      </c>
      <c r="I6" s="109">
        <v>8236.619999999999</v>
      </c>
      <c r="J6" s="109">
        <v>25</v>
      </c>
      <c r="K6" s="109">
        <v>25</v>
      </c>
      <c r="L6" s="109">
        <v>8425.16</v>
      </c>
      <c r="M6" s="109">
        <v>3000000</v>
      </c>
      <c r="N6" s="21">
        <f>IFERROR(L6/I6,"")</f>
        <v>1.0228904574934865</v>
      </c>
      <c r="O6" s="21">
        <f>IF(D6="a",K6/25000,IF(D6="b",K6/15000,IF(D6="c",K6/5000)))/H6</f>
        <v>5.0000000000000001E-3</v>
      </c>
    </row>
    <row r="7" spans="1:15" x14ac:dyDescent="0.3">
      <c r="B7" s="104" t="s">
        <v>388</v>
      </c>
      <c r="C7" s="105" t="s">
        <v>42</v>
      </c>
      <c r="D7" s="105" t="s">
        <v>3</v>
      </c>
      <c r="E7" s="106">
        <v>45910</v>
      </c>
      <c r="F7" s="107">
        <v>9</v>
      </c>
      <c r="G7" s="106"/>
      <c r="H7" s="108">
        <v>1</v>
      </c>
      <c r="I7" s="109">
        <v>646666.53000000026</v>
      </c>
      <c r="J7" s="109">
        <v>2104</v>
      </c>
      <c r="K7" s="109">
        <v>1896</v>
      </c>
      <c r="L7" s="109">
        <v>724436.27999999991</v>
      </c>
      <c r="M7" s="109">
        <v>3000000</v>
      </c>
      <c r="N7" s="21">
        <f>IFERROR(L7/I7,"")</f>
        <v>1.1202625254163063</v>
      </c>
      <c r="O7" s="21">
        <f>IF(D7="a",K7/25000,IF(D7="b",K7/15000,IF(D7="c",K7/5000)))/H7</f>
        <v>0.37919999999999998</v>
      </c>
    </row>
    <row r="8" spans="1:15" x14ac:dyDescent="0.3">
      <c r="B8" s="104" t="s">
        <v>127</v>
      </c>
      <c r="C8" s="105" t="s">
        <v>6</v>
      </c>
      <c r="D8" s="105" t="s">
        <v>17</v>
      </c>
      <c r="E8" s="106">
        <v>45729</v>
      </c>
      <c r="F8" s="107">
        <v>3</v>
      </c>
      <c r="G8" s="106"/>
      <c r="H8" s="108">
        <v>1</v>
      </c>
      <c r="I8" s="109">
        <v>2237988.5</v>
      </c>
      <c r="J8" s="109">
        <v>6392</v>
      </c>
      <c r="K8" s="109">
        <v>6392</v>
      </c>
      <c r="L8" s="109">
        <v>2206452.7400000002</v>
      </c>
      <c r="M8" s="109">
        <v>6877897.9000000004</v>
      </c>
      <c r="N8" s="21">
        <f>IFERROR(L8/I8,"")</f>
        <v>0.9859088820161499</v>
      </c>
      <c r="O8" s="21">
        <f>IF(D8="a",K8/25000,IF(D8="b",K8/15000,IF(D8="c",K8/5000)))/H8</f>
        <v>0.42613333333333331</v>
      </c>
    </row>
    <row r="9" spans="1:15" x14ac:dyDescent="0.3">
      <c r="B9" s="104" t="s">
        <v>33</v>
      </c>
      <c r="C9" s="105" t="s">
        <v>16</v>
      </c>
      <c r="D9" s="105" t="s">
        <v>17</v>
      </c>
      <c r="E9" s="106">
        <v>45716</v>
      </c>
      <c r="F9" s="107">
        <v>2</v>
      </c>
      <c r="G9" s="106"/>
      <c r="H9" s="108">
        <v>1</v>
      </c>
      <c r="I9" s="109">
        <v>4246092.9600000009</v>
      </c>
      <c r="J9" s="109">
        <v>11462</v>
      </c>
      <c r="K9" s="109">
        <v>11419</v>
      </c>
      <c r="L9" s="109">
        <v>4500437.87</v>
      </c>
      <c r="M9" s="109">
        <v>7000000</v>
      </c>
      <c r="N9" s="21">
        <f>IFERROR(L9/I9,"")</f>
        <v>1.0599009283112819</v>
      </c>
      <c r="O9" s="21">
        <f>IF(D9="a",K9/25000,IF(D9="b",K9/15000,IF(D9="c",K9/5000)))/H9</f>
        <v>0.76126666666666665</v>
      </c>
    </row>
    <row r="10" spans="1:15" x14ac:dyDescent="0.3">
      <c r="B10" s="104" t="s">
        <v>394</v>
      </c>
      <c r="C10" s="105" t="s">
        <v>42</v>
      </c>
      <c r="D10" s="105" t="s">
        <v>3</v>
      </c>
      <c r="E10" s="106">
        <v>45910</v>
      </c>
      <c r="F10" s="107">
        <v>9</v>
      </c>
      <c r="G10" s="106"/>
      <c r="H10" s="108">
        <v>1</v>
      </c>
      <c r="I10" s="109">
        <v>54131.560000000012</v>
      </c>
      <c r="J10" s="109">
        <v>154</v>
      </c>
      <c r="K10" s="109">
        <v>154</v>
      </c>
      <c r="L10" s="109">
        <v>62389.240000000005</v>
      </c>
      <c r="M10" s="109">
        <v>3000000</v>
      </c>
      <c r="N10" s="21">
        <f>IFERROR(L10/I10,"")</f>
        <v>1.1525483470271316</v>
      </c>
      <c r="O10" s="21">
        <f>IF(D10="a",K10/25000,IF(D10="b",K10/15000,IF(D10="c",K10/5000)))/H10</f>
        <v>3.0800000000000001E-2</v>
      </c>
    </row>
    <row r="11" spans="1:15" x14ac:dyDescent="0.3">
      <c r="B11" s="104" t="s">
        <v>218</v>
      </c>
      <c r="C11" s="105" t="s">
        <v>168</v>
      </c>
      <c r="D11" s="105" t="s">
        <v>3</v>
      </c>
      <c r="E11" s="106">
        <v>45777</v>
      </c>
      <c r="F11" s="107">
        <v>4</v>
      </c>
      <c r="G11" s="106"/>
      <c r="H11" s="108">
        <v>1</v>
      </c>
      <c r="I11" s="109">
        <v>199303.04000000004</v>
      </c>
      <c r="J11" s="109">
        <v>542</v>
      </c>
      <c r="K11" s="109">
        <v>539</v>
      </c>
      <c r="L11" s="109">
        <v>224856.94</v>
      </c>
      <c r="M11" s="109">
        <v>1850000</v>
      </c>
      <c r="N11" s="21">
        <f>IFERROR(L11/I11,"")</f>
        <v>1.128216308190783</v>
      </c>
      <c r="O11" s="21">
        <f>IF(D11="a",K11/25000,IF(D11="b",K11/15000,IF(D11="c",K11/5000)))/H11</f>
        <v>0.10780000000000001</v>
      </c>
    </row>
    <row r="12" spans="1:15" x14ac:dyDescent="0.3">
      <c r="B12" s="104" t="s">
        <v>337</v>
      </c>
      <c r="C12" s="105" t="s">
        <v>168</v>
      </c>
      <c r="D12" s="105" t="s">
        <v>3</v>
      </c>
      <c r="E12" s="106">
        <v>45831</v>
      </c>
      <c r="F12" s="107">
        <v>6</v>
      </c>
      <c r="G12" s="106"/>
      <c r="H12" s="108">
        <v>1</v>
      </c>
      <c r="I12" s="109">
        <v>149865.34999999998</v>
      </c>
      <c r="J12" s="109">
        <v>445</v>
      </c>
      <c r="K12" s="109">
        <v>445</v>
      </c>
      <c r="L12" s="109">
        <v>163429.33000000002</v>
      </c>
      <c r="M12" s="109">
        <v>3000000</v>
      </c>
      <c r="N12" s="21">
        <f>IFERROR(L12/I12,"")</f>
        <v>1.0905077791497504</v>
      </c>
      <c r="O12" s="21">
        <f>IF(D12="a",K12/25000,IF(D12="b",K12/15000,IF(D12="c",K12/5000)))/H12</f>
        <v>8.8999999999999996E-2</v>
      </c>
    </row>
    <row r="13" spans="1:15" x14ac:dyDescent="0.3">
      <c r="B13" s="104" t="s">
        <v>192</v>
      </c>
      <c r="C13" s="105" t="s">
        <v>9</v>
      </c>
      <c r="D13" s="105" t="s">
        <v>17</v>
      </c>
      <c r="E13" s="106">
        <v>45750</v>
      </c>
      <c r="F13" s="107">
        <v>4</v>
      </c>
      <c r="G13" s="106"/>
      <c r="H13" s="108">
        <v>1</v>
      </c>
      <c r="I13" s="109">
        <v>3589114.0000000023</v>
      </c>
      <c r="J13" s="109">
        <v>11787</v>
      </c>
      <c r="K13" s="109">
        <v>10292</v>
      </c>
      <c r="L13" s="109">
        <v>4058360.2600000002</v>
      </c>
      <c r="M13" s="109">
        <v>6000000</v>
      </c>
      <c r="N13" s="21">
        <f>IFERROR(L13/I13,"")</f>
        <v>1.1307415311968352</v>
      </c>
      <c r="O13" s="21">
        <f>IF(D13="a",K13/25000,IF(D13="b",K13/15000,IF(D13="c",K13/5000)))/H13</f>
        <v>0.68613333333333337</v>
      </c>
    </row>
    <row r="14" spans="1:15" x14ac:dyDescent="0.3">
      <c r="B14" s="104" t="s">
        <v>145</v>
      </c>
      <c r="C14" s="105" t="s">
        <v>9</v>
      </c>
      <c r="D14" s="105" t="s">
        <v>3</v>
      </c>
      <c r="E14" s="106">
        <v>45771</v>
      </c>
      <c r="F14" s="107">
        <v>4</v>
      </c>
      <c r="G14" s="106"/>
      <c r="H14" s="108">
        <v>1</v>
      </c>
      <c r="I14" s="109">
        <v>3904825.3399999849</v>
      </c>
      <c r="J14" s="109">
        <v>9673</v>
      </c>
      <c r="K14" s="109">
        <v>9615</v>
      </c>
      <c r="L14" s="109">
        <v>2154041.5699999998</v>
      </c>
      <c r="M14" s="109">
        <v>6000000</v>
      </c>
      <c r="N14" s="21">
        <f>IFERROR(L14/I14,"")</f>
        <v>0.5516358306566429</v>
      </c>
      <c r="O14" s="21">
        <f>IF(D14="a",K14/25000,IF(D14="b",K14/15000,IF(D14="c",K14/5000)))/H14</f>
        <v>1.923</v>
      </c>
    </row>
    <row r="15" spans="1:15" x14ac:dyDescent="0.3">
      <c r="B15" s="104" t="s">
        <v>178</v>
      </c>
      <c r="C15" s="105" t="s">
        <v>9</v>
      </c>
      <c r="D15" s="105" t="s">
        <v>3</v>
      </c>
      <c r="E15" s="106">
        <v>45775</v>
      </c>
      <c r="F15" s="107">
        <v>4</v>
      </c>
      <c r="G15" s="106">
        <v>46506</v>
      </c>
      <c r="H15" s="108">
        <v>2</v>
      </c>
      <c r="I15" s="109">
        <v>2153985.3400000017</v>
      </c>
      <c r="J15" s="109">
        <v>6335</v>
      </c>
      <c r="K15" s="109">
        <v>5991</v>
      </c>
      <c r="L15" s="109">
        <v>2298943.5399999996</v>
      </c>
      <c r="M15" s="109">
        <v>3000000</v>
      </c>
      <c r="N15" s="21">
        <f>IFERROR(L15/I15,"")</f>
        <v>1.0672976725087635</v>
      </c>
      <c r="O15" s="21">
        <f>IF(D15="a",K15/25000,IF(D15="b",K15/15000,IF(D15="c",K15/5000)))/H15</f>
        <v>0.59909999999999997</v>
      </c>
    </row>
    <row r="16" spans="1:15" x14ac:dyDescent="0.3">
      <c r="B16" s="104" t="s">
        <v>236</v>
      </c>
      <c r="C16" s="105" t="s">
        <v>9</v>
      </c>
      <c r="D16" s="105" t="s">
        <v>3</v>
      </c>
      <c r="E16" s="106">
        <v>45793</v>
      </c>
      <c r="F16" s="107">
        <v>5</v>
      </c>
      <c r="G16" s="106"/>
      <c r="H16" s="108">
        <v>1</v>
      </c>
      <c r="I16" s="109">
        <v>1752956.6799999964</v>
      </c>
      <c r="J16" s="109">
        <v>5636</v>
      </c>
      <c r="K16" s="109">
        <v>4981</v>
      </c>
      <c r="L16" s="109">
        <v>538353.65999999992</v>
      </c>
      <c r="M16" s="109">
        <v>3000000</v>
      </c>
      <c r="N16" s="21">
        <f>IFERROR(L16/I16,"")</f>
        <v>0.30711178783950382</v>
      </c>
      <c r="O16" s="21">
        <f>IF(D16="a",K16/25000,IF(D16="b",K16/15000,IF(D16="c",K16/5000)))/H16</f>
        <v>0.99619999999999997</v>
      </c>
    </row>
    <row r="17" spans="2:15" x14ac:dyDescent="0.3">
      <c r="B17" s="104" t="s">
        <v>66</v>
      </c>
      <c r="C17" s="105" t="s">
        <v>9</v>
      </c>
      <c r="D17" s="105" t="s">
        <v>3</v>
      </c>
      <c r="E17" s="106">
        <v>45741</v>
      </c>
      <c r="F17" s="107">
        <v>3</v>
      </c>
      <c r="G17" s="106">
        <v>46254</v>
      </c>
      <c r="H17" s="108">
        <v>2</v>
      </c>
      <c r="I17" s="109">
        <v>3386119.6099999966</v>
      </c>
      <c r="J17" s="109">
        <v>10682</v>
      </c>
      <c r="K17" s="109">
        <v>9517</v>
      </c>
      <c r="L17" s="109">
        <v>3826500</v>
      </c>
      <c r="M17" s="109">
        <v>3826313.87</v>
      </c>
      <c r="N17" s="21">
        <f>IFERROR(L17/I17,"")</f>
        <v>1.1300545877645485</v>
      </c>
      <c r="O17" s="21">
        <f>IF(D17="a",K17/25000,IF(D17="b",K17/15000,IF(D17="c",K17/5000)))/H17</f>
        <v>0.95169999999999999</v>
      </c>
    </row>
    <row r="18" spans="2:15" x14ac:dyDescent="0.3">
      <c r="B18" s="104" t="s">
        <v>139</v>
      </c>
      <c r="C18" s="105" t="s">
        <v>9</v>
      </c>
      <c r="D18" s="105" t="s">
        <v>17</v>
      </c>
      <c r="E18" s="106">
        <v>45719</v>
      </c>
      <c r="F18" s="107">
        <v>3</v>
      </c>
      <c r="G18" s="106"/>
      <c r="H18" s="108">
        <v>1</v>
      </c>
      <c r="I18" s="109">
        <v>291642.79000000004</v>
      </c>
      <c r="J18" s="109">
        <v>775</v>
      </c>
      <c r="K18" s="109">
        <v>775</v>
      </c>
      <c r="L18" s="109">
        <v>334494.04999999993</v>
      </c>
      <c r="M18" s="109">
        <v>12000000</v>
      </c>
      <c r="N18" s="21">
        <f>IFERROR(L18/I18,"")</f>
        <v>1.1469306338757763</v>
      </c>
      <c r="O18" s="21">
        <f>IF(D18="a",K18/25000,IF(D18="b",K18/15000,IF(D18="c",K18/5000)))/H18</f>
        <v>5.1666666666666666E-2</v>
      </c>
    </row>
    <row r="19" spans="2:15" x14ac:dyDescent="0.3">
      <c r="B19" s="104" t="s">
        <v>282</v>
      </c>
      <c r="C19" s="105" t="s">
        <v>9</v>
      </c>
      <c r="D19" s="105" t="s">
        <v>3</v>
      </c>
      <c r="E19" s="106">
        <v>45786</v>
      </c>
      <c r="F19" s="107">
        <v>5</v>
      </c>
      <c r="G19" s="106"/>
      <c r="H19" s="108">
        <v>1</v>
      </c>
      <c r="I19" s="109">
        <v>439658.67000000097</v>
      </c>
      <c r="J19" s="109">
        <v>1241</v>
      </c>
      <c r="K19" s="109">
        <v>1209</v>
      </c>
      <c r="L19" s="109">
        <v>500782.63</v>
      </c>
      <c r="M19" s="109">
        <v>3000000</v>
      </c>
      <c r="N19" s="21">
        <f>IFERROR(L19/I19,"")</f>
        <v>1.1390259402822625</v>
      </c>
      <c r="O19" s="21">
        <f>IF(D19="a",K19/25000,IF(D19="b",K19/15000,IF(D19="c",K19/5000)))/H19</f>
        <v>0.24179999999999999</v>
      </c>
    </row>
    <row r="20" spans="2:15" x14ac:dyDescent="0.3">
      <c r="B20" s="104" t="s">
        <v>299</v>
      </c>
      <c r="C20" s="105" t="s">
        <v>9</v>
      </c>
      <c r="D20" s="105" t="s">
        <v>3</v>
      </c>
      <c r="E20" s="106">
        <v>45812</v>
      </c>
      <c r="F20" s="107">
        <v>6</v>
      </c>
      <c r="G20" s="106"/>
      <c r="H20" s="108">
        <v>1</v>
      </c>
      <c r="I20" s="109">
        <v>3365188.8500000094</v>
      </c>
      <c r="J20" s="109">
        <v>9853</v>
      </c>
      <c r="K20" s="109">
        <v>8521</v>
      </c>
      <c r="L20" s="109">
        <v>3802659.8599999994</v>
      </c>
      <c r="M20" s="109">
        <v>3802659.7899999996</v>
      </c>
      <c r="N20" s="21">
        <f>IFERROR(L20/I20,"")</f>
        <v>1.1299989479045103</v>
      </c>
      <c r="O20" s="21">
        <f>IF(D20="a",K20/25000,IF(D20="b",K20/15000,IF(D20="c",K20/5000)))/H20</f>
        <v>1.7041999999999999</v>
      </c>
    </row>
    <row r="21" spans="2:15" x14ac:dyDescent="0.3">
      <c r="B21" s="104" t="s">
        <v>404</v>
      </c>
      <c r="C21" s="105" t="s">
        <v>9</v>
      </c>
      <c r="D21" s="105" t="s">
        <v>17</v>
      </c>
      <c r="E21" s="106">
        <v>46014</v>
      </c>
      <c r="F21" s="107">
        <v>12</v>
      </c>
      <c r="G21" s="106"/>
      <c r="H21" s="108">
        <v>1</v>
      </c>
      <c r="I21" s="109">
        <v>1961949.69</v>
      </c>
      <c r="J21" s="109">
        <v>5087</v>
      </c>
      <c r="K21" s="109">
        <v>5027</v>
      </c>
      <c r="L21" s="109">
        <v>1864359.3799999997</v>
      </c>
      <c r="M21" s="109">
        <v>6000000</v>
      </c>
      <c r="N21" s="21">
        <f>IFERROR(L21/I21,"")</f>
        <v>0.95025850535443634</v>
      </c>
      <c r="O21" s="21">
        <f>IF(D21="a",K21/25000,IF(D21="b",K21/15000,IF(D21="c",K21/5000)))/H21</f>
        <v>0.33513333333333334</v>
      </c>
    </row>
    <row r="22" spans="2:15" x14ac:dyDescent="0.3">
      <c r="B22" s="104" t="s">
        <v>151</v>
      </c>
      <c r="C22" s="105" t="s">
        <v>9</v>
      </c>
      <c r="D22" s="105" t="s">
        <v>3</v>
      </c>
      <c r="E22" s="106">
        <v>45758</v>
      </c>
      <c r="F22" s="107">
        <v>4</v>
      </c>
      <c r="G22" s="106">
        <v>46514</v>
      </c>
      <c r="H22" s="108">
        <v>3</v>
      </c>
      <c r="I22" s="109">
        <v>5529806.6600000318</v>
      </c>
      <c r="J22" s="109">
        <v>17136</v>
      </c>
      <c r="K22" s="109">
        <v>15195</v>
      </c>
      <c r="L22" s="109">
        <v>6200000</v>
      </c>
      <c r="M22" s="109">
        <v>7500000</v>
      </c>
      <c r="N22" s="21">
        <f>IFERROR(L22/I22,"")</f>
        <v>1.1211965229901844</v>
      </c>
      <c r="O22" s="21">
        <f>IF(D22="a",K22/25000,IF(D22="b",K22/15000,IF(D22="c",K22/5000)))/H22</f>
        <v>1.0130000000000001</v>
      </c>
    </row>
    <row r="23" spans="2:15" x14ac:dyDescent="0.3">
      <c r="B23" s="104" t="s">
        <v>111</v>
      </c>
      <c r="C23" s="105" t="s">
        <v>9</v>
      </c>
      <c r="D23" s="105" t="s">
        <v>10</v>
      </c>
      <c r="E23" s="106">
        <v>45747</v>
      </c>
      <c r="F23" s="107">
        <v>3</v>
      </c>
      <c r="G23" s="106">
        <v>46472</v>
      </c>
      <c r="H23" s="108">
        <v>2</v>
      </c>
      <c r="I23" s="109">
        <v>11521249.439999998</v>
      </c>
      <c r="J23" s="109">
        <v>34463</v>
      </c>
      <c r="K23" s="109">
        <v>34463</v>
      </c>
      <c r="L23" s="109">
        <v>11641836.019999998</v>
      </c>
      <c r="M23" s="109">
        <v>22940000</v>
      </c>
      <c r="N23" s="21">
        <f>IFERROR(L23/I23,"")</f>
        <v>1.0104664498957328</v>
      </c>
      <c r="O23" s="21">
        <f>IF(D23="a",K23/25000,IF(D23="b",K23/15000,IF(D23="c",K23/5000)))/H23</f>
        <v>0.68925999999999998</v>
      </c>
    </row>
    <row r="24" spans="2:15" x14ac:dyDescent="0.3">
      <c r="B24" s="104" t="s">
        <v>351</v>
      </c>
      <c r="C24" s="105" t="s">
        <v>9</v>
      </c>
      <c r="D24" s="105" t="s">
        <v>10</v>
      </c>
      <c r="E24" s="106">
        <v>45867</v>
      </c>
      <c r="F24" s="107">
        <v>7</v>
      </c>
      <c r="G24" s="106">
        <v>46402</v>
      </c>
      <c r="H24" s="108">
        <v>2</v>
      </c>
      <c r="I24" s="109">
        <v>16212189.090000018</v>
      </c>
      <c r="J24" s="109">
        <v>58820</v>
      </c>
      <c r="K24" s="109">
        <v>48613</v>
      </c>
      <c r="L24" s="109">
        <v>15824895.670000002</v>
      </c>
      <c r="M24" s="109">
        <v>20000000</v>
      </c>
      <c r="N24" s="21">
        <f>IFERROR(L24/I24,"")</f>
        <v>0.97611097317888385</v>
      </c>
      <c r="O24" s="21">
        <f>IF(D24="a",K24/25000,IF(D24="b",K24/15000,IF(D24="c",K24/5000)))/H24</f>
        <v>0.97226000000000001</v>
      </c>
    </row>
    <row r="25" spans="2:15" x14ac:dyDescent="0.3">
      <c r="B25" s="104" t="s">
        <v>339</v>
      </c>
      <c r="C25" s="105" t="s">
        <v>9</v>
      </c>
      <c r="D25" s="105" t="s">
        <v>3</v>
      </c>
      <c r="E25" s="106">
        <v>45817</v>
      </c>
      <c r="F25" s="107">
        <v>6</v>
      </c>
      <c r="G25" s="106"/>
      <c r="H25" s="108">
        <v>1</v>
      </c>
      <c r="I25" s="109">
        <v>102297.90000000011</v>
      </c>
      <c r="J25" s="109">
        <v>274</v>
      </c>
      <c r="K25" s="109">
        <v>273</v>
      </c>
      <c r="L25" s="109">
        <v>115596.57</v>
      </c>
      <c r="M25" s="109">
        <v>3000000</v>
      </c>
      <c r="N25" s="21">
        <f>IFERROR(L25/I25,"")</f>
        <v>1.12999944280381</v>
      </c>
      <c r="O25" s="21">
        <f>IF(D25="a",K25/25000,IF(D25="b",K25/15000,IF(D25="c",K25/5000)))/H25</f>
        <v>5.4600000000000003E-2</v>
      </c>
    </row>
    <row r="26" spans="2:15" x14ac:dyDescent="0.3">
      <c r="B26" s="104" t="s">
        <v>31</v>
      </c>
      <c r="C26" s="105" t="s">
        <v>9</v>
      </c>
      <c r="D26" s="105" t="s">
        <v>3</v>
      </c>
      <c r="E26" s="106">
        <v>45712</v>
      </c>
      <c r="F26" s="107">
        <v>2</v>
      </c>
      <c r="G26" s="106"/>
      <c r="H26" s="108">
        <v>1</v>
      </c>
      <c r="I26" s="109">
        <v>2492692.0499999989</v>
      </c>
      <c r="J26" s="109">
        <v>7730</v>
      </c>
      <c r="K26" s="109">
        <v>7013</v>
      </c>
      <c r="L26" s="109">
        <v>2820241.62</v>
      </c>
      <c r="M26" s="109">
        <v>2820241.62</v>
      </c>
      <c r="N26" s="21">
        <f>IFERROR(L26/I26,"")</f>
        <v>1.1314039453850713</v>
      </c>
      <c r="O26" s="21">
        <f>IF(D26="a",K26/25000,IF(D26="b",K26/15000,IF(D26="c",K26/5000)))/H26</f>
        <v>1.4026000000000001</v>
      </c>
    </row>
    <row r="27" spans="2:15" x14ac:dyDescent="0.3">
      <c r="B27" s="104" t="s">
        <v>420</v>
      </c>
      <c r="C27" s="105" t="s">
        <v>9</v>
      </c>
      <c r="D27" s="105" t="s">
        <v>17</v>
      </c>
      <c r="E27" s="106">
        <v>46105</v>
      </c>
      <c r="F27" s="107" t="s">
        <v>413</v>
      </c>
      <c r="G27" s="106"/>
      <c r="H27" s="108">
        <v>1</v>
      </c>
      <c r="I27" s="109">
        <v>374296.91000000009</v>
      </c>
      <c r="J27" s="109">
        <v>1156</v>
      </c>
      <c r="K27" s="109">
        <v>1156</v>
      </c>
      <c r="L27" s="109">
        <v>497343.04</v>
      </c>
      <c r="M27" s="109">
        <v>7000000</v>
      </c>
      <c r="N27" s="21">
        <f>IFERROR(L27/I27,"")</f>
        <v>1.3287393689678064</v>
      </c>
      <c r="O27" s="21">
        <f>IF(D27="a",K27/25000,IF(D27="b",K27/15000,IF(D27="c",K27/5000)))/H27</f>
        <v>7.7066666666666672E-2</v>
      </c>
    </row>
    <row r="28" spans="2:15" x14ac:dyDescent="0.3">
      <c r="B28" s="104" t="s">
        <v>297</v>
      </c>
      <c r="C28" s="105" t="s">
        <v>9</v>
      </c>
      <c r="D28" s="105" t="s">
        <v>3</v>
      </c>
      <c r="E28" s="106">
        <v>45797</v>
      </c>
      <c r="F28" s="107">
        <v>5</v>
      </c>
      <c r="G28" s="106"/>
      <c r="H28" s="108">
        <v>1</v>
      </c>
      <c r="I28" s="109">
        <v>21440.389999999985</v>
      </c>
      <c r="J28" s="109">
        <v>26</v>
      </c>
      <c r="K28" s="109">
        <v>23</v>
      </c>
      <c r="L28" s="109">
        <v>24227.469999999998</v>
      </c>
      <c r="M28" s="109">
        <v>3000000</v>
      </c>
      <c r="N28" s="21">
        <f>IFERROR(L28/I28,"")</f>
        <v>1.1299920383910933</v>
      </c>
      <c r="O28" s="21">
        <f>IF(D28="a",K28/25000,IF(D28="b",K28/15000,IF(D28="c",K28/5000)))/H28</f>
        <v>4.5999999999999999E-3</v>
      </c>
    </row>
    <row r="29" spans="2:15" x14ac:dyDescent="0.3">
      <c r="B29" s="104" t="s">
        <v>71</v>
      </c>
      <c r="C29" s="105" t="s">
        <v>9</v>
      </c>
      <c r="D29" s="105" t="s">
        <v>3</v>
      </c>
      <c r="E29" s="106">
        <v>45735</v>
      </c>
      <c r="F29" s="107">
        <v>3</v>
      </c>
      <c r="G29" s="106">
        <v>46248</v>
      </c>
      <c r="H29" s="108">
        <v>2</v>
      </c>
      <c r="I29" s="109">
        <v>2964149.8099999954</v>
      </c>
      <c r="J29" s="109">
        <v>8986</v>
      </c>
      <c r="K29" s="109">
        <v>8133</v>
      </c>
      <c r="L29" s="109">
        <v>3359507.6</v>
      </c>
      <c r="M29" s="109">
        <v>6000000</v>
      </c>
      <c r="N29" s="21">
        <f>IFERROR(L29/I29,"")</f>
        <v>1.1333798273846372</v>
      </c>
      <c r="O29" s="21">
        <f>IF(D29="a",K29/25000,IF(D29="b",K29/15000,IF(D29="c",K29/5000)))/H29</f>
        <v>0.81330000000000002</v>
      </c>
    </row>
    <row r="30" spans="2:15" x14ac:dyDescent="0.3">
      <c r="B30" s="104" t="s">
        <v>48</v>
      </c>
      <c r="C30" s="105" t="s">
        <v>9</v>
      </c>
      <c r="D30" s="105" t="s">
        <v>3</v>
      </c>
      <c r="E30" s="106">
        <v>45728</v>
      </c>
      <c r="F30" s="107">
        <v>3</v>
      </c>
      <c r="G30" s="106"/>
      <c r="H30" s="108">
        <v>1</v>
      </c>
      <c r="I30" s="109">
        <v>2417797.2100000014</v>
      </c>
      <c r="J30" s="109">
        <v>7495</v>
      </c>
      <c r="K30" s="109">
        <v>6942</v>
      </c>
      <c r="L30" s="109">
        <v>2736669.6399999997</v>
      </c>
      <c r="M30" s="109">
        <v>7423341.2999999998</v>
      </c>
      <c r="N30" s="21">
        <f>IFERROR(L30/I30,"")</f>
        <v>1.1318855149146267</v>
      </c>
      <c r="O30" s="21">
        <f>IF(D30="a",K30/25000,IF(D30="b",K30/15000,IF(D30="c",K30/5000)))/H30</f>
        <v>1.3884000000000001</v>
      </c>
    </row>
    <row r="31" spans="2:15" x14ac:dyDescent="0.3">
      <c r="B31" s="104" t="s">
        <v>419</v>
      </c>
      <c r="C31" s="105" t="s">
        <v>9</v>
      </c>
      <c r="D31" s="105" t="s">
        <v>17</v>
      </c>
      <c r="E31" s="106">
        <v>46092</v>
      </c>
      <c r="F31" s="107" t="s">
        <v>413</v>
      </c>
      <c r="G31" s="106"/>
      <c r="H31" s="108">
        <v>1</v>
      </c>
      <c r="I31" s="109">
        <v>457317.34999999992</v>
      </c>
      <c r="J31" s="109">
        <v>1412</v>
      </c>
      <c r="K31" s="109">
        <v>1412</v>
      </c>
      <c r="L31" s="109">
        <v>549703.15</v>
      </c>
      <c r="M31" s="109">
        <v>10400000</v>
      </c>
      <c r="N31" s="21">
        <f>IFERROR(L31/I31,"")</f>
        <v>1.2020168270458143</v>
      </c>
      <c r="O31" s="21">
        <f>IF(D31="a",K31/25000,IF(D31="b",K31/15000,IF(D31="c",K31/5000)))/H31</f>
        <v>9.4133333333333333E-2</v>
      </c>
    </row>
    <row r="32" spans="2:15" x14ac:dyDescent="0.3">
      <c r="B32" s="104" t="s">
        <v>62</v>
      </c>
      <c r="C32" s="105" t="s">
        <v>9</v>
      </c>
      <c r="D32" s="105" t="s">
        <v>3</v>
      </c>
      <c r="E32" s="106">
        <v>45726</v>
      </c>
      <c r="F32" s="107">
        <v>3</v>
      </c>
      <c r="G32" s="106">
        <v>46290</v>
      </c>
      <c r="H32" s="108">
        <v>2</v>
      </c>
      <c r="I32" s="109">
        <v>3448169.9999999953</v>
      </c>
      <c r="J32" s="109">
        <v>9330</v>
      </c>
      <c r="K32" s="109">
        <v>8575</v>
      </c>
      <c r="L32" s="109">
        <v>4005162.76</v>
      </c>
      <c r="M32" s="109">
        <v>6000000</v>
      </c>
      <c r="N32" s="21">
        <f>IFERROR(L32/I32,"")</f>
        <v>1.1615328594587868</v>
      </c>
      <c r="O32" s="21">
        <f>IF(D32="a",K32/25000,IF(D32="b",K32/15000,IF(D32="c",K32/5000)))/H32</f>
        <v>0.85750000000000004</v>
      </c>
    </row>
    <row r="33" spans="2:15" x14ac:dyDescent="0.3">
      <c r="B33" s="104" t="s">
        <v>409</v>
      </c>
      <c r="C33" s="105" t="s">
        <v>42</v>
      </c>
      <c r="D33" s="105" t="s">
        <v>3</v>
      </c>
      <c r="E33" s="106">
        <v>46063</v>
      </c>
      <c r="F33" s="107" t="s">
        <v>410</v>
      </c>
      <c r="G33" s="106"/>
      <c r="H33" s="108">
        <v>1</v>
      </c>
      <c r="I33" s="109">
        <v>500922.01</v>
      </c>
      <c r="J33" s="109">
        <v>1516</v>
      </c>
      <c r="K33" s="109">
        <v>1516</v>
      </c>
      <c r="L33" s="109">
        <v>23596.799999999999</v>
      </c>
      <c r="M33" s="109">
        <v>3000000</v>
      </c>
      <c r="N33" s="21">
        <f>IFERROR(L33/I33,"")</f>
        <v>4.7106734239926888E-2</v>
      </c>
      <c r="O33" s="21">
        <f>IF(D33="a",K33/25000,IF(D33="b",K33/15000,IF(D33="c",K33/5000)))/H33</f>
        <v>0.30320000000000003</v>
      </c>
    </row>
    <row r="34" spans="2:15" x14ac:dyDescent="0.3">
      <c r="B34" s="104" t="s">
        <v>370</v>
      </c>
      <c r="C34" s="105" t="s">
        <v>36</v>
      </c>
      <c r="D34" s="105" t="s">
        <v>3</v>
      </c>
      <c r="E34" s="106">
        <v>45856</v>
      </c>
      <c r="F34" s="107">
        <v>7</v>
      </c>
      <c r="G34" s="106"/>
      <c r="H34" s="108">
        <v>1</v>
      </c>
      <c r="I34" s="109">
        <v>106333.12000000001</v>
      </c>
      <c r="J34" s="109">
        <v>307</v>
      </c>
      <c r="K34" s="109">
        <v>307</v>
      </c>
      <c r="L34" s="109">
        <v>120399.26999999999</v>
      </c>
      <c r="M34" s="109">
        <v>1850000</v>
      </c>
      <c r="N34" s="21">
        <f>IFERROR(L34/I34,"")</f>
        <v>1.1322838077167301</v>
      </c>
      <c r="O34" s="21">
        <f>IF(D34="a",K34/25000,IF(D34="b",K34/15000,IF(D34="c",K34/5000)))/H34</f>
        <v>6.1400000000000003E-2</v>
      </c>
    </row>
    <row r="35" spans="2:15" x14ac:dyDescent="0.3">
      <c r="B35" s="104" t="s">
        <v>234</v>
      </c>
      <c r="C35" s="105" t="s">
        <v>6</v>
      </c>
      <c r="D35" s="105" t="s">
        <v>3</v>
      </c>
      <c r="E35" s="106">
        <v>45798</v>
      </c>
      <c r="F35" s="107">
        <v>5</v>
      </c>
      <c r="G35" s="106"/>
      <c r="H35" s="108">
        <v>1</v>
      </c>
      <c r="I35" s="109">
        <v>1772767.9999999984</v>
      </c>
      <c r="J35" s="109">
        <v>5756</v>
      </c>
      <c r="K35" s="109">
        <v>5040</v>
      </c>
      <c r="L35" s="109">
        <v>2003226.9999999998</v>
      </c>
      <c r="M35" s="109">
        <v>2003227</v>
      </c>
      <c r="N35" s="21">
        <f>IFERROR(L35/I35,"")</f>
        <v>1.1299995261647331</v>
      </c>
      <c r="O35" s="21">
        <f>IF(D35="a",K35/25000,IF(D35="b",K35/15000,IF(D35="c",K35/5000)))/H35</f>
        <v>1.008</v>
      </c>
    </row>
    <row r="36" spans="2:15" x14ac:dyDescent="0.3">
      <c r="B36" s="104" t="s">
        <v>401</v>
      </c>
      <c r="C36" s="105" t="s">
        <v>6</v>
      </c>
      <c r="D36" s="105" t="s">
        <v>17</v>
      </c>
      <c r="E36" s="106">
        <v>45972</v>
      </c>
      <c r="F36" s="107">
        <v>11</v>
      </c>
      <c r="G36" s="106"/>
      <c r="H36" s="108">
        <v>1</v>
      </c>
      <c r="I36" s="109">
        <v>4575777.6800000016</v>
      </c>
      <c r="J36" s="109">
        <v>15355</v>
      </c>
      <c r="K36" s="109">
        <v>14054</v>
      </c>
      <c r="L36" s="109">
        <v>3874468.35</v>
      </c>
      <c r="M36" s="109">
        <v>8200026.1600000001</v>
      </c>
      <c r="N36" s="21">
        <f>IFERROR(L36/I36,"")</f>
        <v>0.84673439597703504</v>
      </c>
      <c r="O36" s="21">
        <f>IF(D36="a",K36/25000,IF(D36="b",K36/15000,IF(D36="c",K36/5000)))/H36</f>
        <v>0.93693333333333328</v>
      </c>
    </row>
    <row r="37" spans="2:15" x14ac:dyDescent="0.3">
      <c r="B37" s="104" t="s">
        <v>90</v>
      </c>
      <c r="C37" s="105" t="s">
        <v>2</v>
      </c>
      <c r="D37" s="105" t="s">
        <v>17</v>
      </c>
      <c r="E37" s="106">
        <v>45722</v>
      </c>
      <c r="F37" s="107">
        <v>3</v>
      </c>
      <c r="G37" s="106"/>
      <c r="H37" s="108">
        <v>1</v>
      </c>
      <c r="I37" s="109">
        <v>5072234.4200000055</v>
      </c>
      <c r="J37" s="109">
        <v>17237</v>
      </c>
      <c r="K37" s="109">
        <v>15010</v>
      </c>
      <c r="L37" s="109">
        <v>5716366.7699999996</v>
      </c>
      <c r="M37" s="109">
        <v>6000000</v>
      </c>
      <c r="N37" s="21">
        <f>IFERROR(L37/I37,"")</f>
        <v>1.1269918337094509</v>
      </c>
      <c r="O37" s="21">
        <f>IF(D37="a",K37/25000,IF(D37="b",K37/15000,IF(D37="c",K37/5000)))/H37</f>
        <v>1.0006666666666666</v>
      </c>
    </row>
    <row r="38" spans="2:15" x14ac:dyDescent="0.3">
      <c r="B38" s="104" t="s">
        <v>88</v>
      </c>
      <c r="C38" s="105" t="s">
        <v>2</v>
      </c>
      <c r="D38" s="105" t="s">
        <v>17</v>
      </c>
      <c r="E38" s="106">
        <v>45726</v>
      </c>
      <c r="F38" s="107">
        <v>3</v>
      </c>
      <c r="G38" s="106"/>
      <c r="H38" s="108">
        <v>1</v>
      </c>
      <c r="I38" s="109">
        <v>5474713.5800000047</v>
      </c>
      <c r="J38" s="109">
        <v>15829</v>
      </c>
      <c r="K38" s="109">
        <v>15350</v>
      </c>
      <c r="L38" s="109">
        <v>5117708.2699999996</v>
      </c>
      <c r="M38" s="109">
        <v>7250000</v>
      </c>
      <c r="N38" s="21">
        <f>IFERROR(L38/I38,"")</f>
        <v>0.93479013928615329</v>
      </c>
      <c r="O38" s="21">
        <f>IF(D38="a",K38/25000,IF(D38="b",K38/15000,IF(D38="c",K38/5000)))/H38</f>
        <v>1.0233333333333334</v>
      </c>
    </row>
    <row r="39" spans="2:15" x14ac:dyDescent="0.3">
      <c r="B39" s="104" t="s">
        <v>248</v>
      </c>
      <c r="C39" s="105" t="s">
        <v>2</v>
      </c>
      <c r="D39" s="105" t="s">
        <v>3</v>
      </c>
      <c r="E39" s="106">
        <v>45803</v>
      </c>
      <c r="F39" s="107">
        <v>5</v>
      </c>
      <c r="G39" s="106">
        <v>46534</v>
      </c>
      <c r="H39" s="108">
        <v>2</v>
      </c>
      <c r="I39" s="109">
        <v>1795601.4200000009</v>
      </c>
      <c r="J39" s="109">
        <v>5292</v>
      </c>
      <c r="K39" s="109">
        <v>5292</v>
      </c>
      <c r="L39" s="109">
        <v>1883111.5299999998</v>
      </c>
      <c r="M39" s="109">
        <v>3400000</v>
      </c>
      <c r="N39" s="21">
        <f>IFERROR(L39/I39,"")</f>
        <v>1.0487358213383451</v>
      </c>
      <c r="O39" s="21">
        <f>IF(D39="a",K39/25000,IF(D39="b",K39/15000,IF(D39="c",K39/5000)))/H39</f>
        <v>0.5292</v>
      </c>
    </row>
    <row r="40" spans="2:15" x14ac:dyDescent="0.3">
      <c r="B40" s="104" t="s">
        <v>417</v>
      </c>
      <c r="C40" s="105" t="s">
        <v>2</v>
      </c>
      <c r="D40" s="105" t="s">
        <v>3</v>
      </c>
      <c r="E40" s="106">
        <v>46097</v>
      </c>
      <c r="F40" s="107" t="s">
        <v>413</v>
      </c>
      <c r="G40" s="106"/>
      <c r="H40" s="108">
        <v>1</v>
      </c>
      <c r="I40" s="109">
        <v>140400.50999999995</v>
      </c>
      <c r="J40" s="109">
        <v>301</v>
      </c>
      <c r="K40" s="109">
        <v>301</v>
      </c>
      <c r="L40" s="109">
        <v>140772.74</v>
      </c>
      <c r="M40" s="109">
        <v>3500000</v>
      </c>
      <c r="N40" s="21">
        <f>IFERROR(L40/I40,"")</f>
        <v>1.0026512011957793</v>
      </c>
      <c r="O40" s="21">
        <f>IF(D40="a",K40/25000,IF(D40="b",K40/15000,IF(D40="c",K40/5000)))/H40</f>
        <v>6.0199999999999997E-2</v>
      </c>
    </row>
    <row r="41" spans="2:15" x14ac:dyDescent="0.3">
      <c r="B41" s="104" t="s">
        <v>398</v>
      </c>
      <c r="C41" s="105" t="s">
        <v>530</v>
      </c>
      <c r="D41" s="105" t="s">
        <v>3</v>
      </c>
      <c r="E41" s="106">
        <v>45943</v>
      </c>
      <c r="F41" s="107">
        <v>10</v>
      </c>
      <c r="G41" s="106"/>
      <c r="H41" s="108">
        <v>1</v>
      </c>
      <c r="I41" s="109">
        <v>754394.2899999998</v>
      </c>
      <c r="J41" s="109">
        <v>2376</v>
      </c>
      <c r="K41" s="109">
        <v>2234</v>
      </c>
      <c r="L41" s="109">
        <v>852878.39000000013</v>
      </c>
      <c r="M41" s="109">
        <v>3000000</v>
      </c>
      <c r="N41" s="21">
        <f>IFERROR(L41/I41,"")</f>
        <v>1.1305472500328713</v>
      </c>
      <c r="O41" s="21">
        <f>IF(D41="a",K41/25000,IF(D41="b",K41/15000,IF(D41="c",K41/5000)))/H41</f>
        <v>0.44679999999999997</v>
      </c>
    </row>
    <row r="42" spans="2:15" x14ac:dyDescent="0.3">
      <c r="B42" s="104" t="s">
        <v>286</v>
      </c>
      <c r="C42" s="105" t="s">
        <v>131</v>
      </c>
      <c r="D42" s="105" t="s">
        <v>3</v>
      </c>
      <c r="E42" s="106">
        <v>45792</v>
      </c>
      <c r="F42" s="107">
        <v>5</v>
      </c>
      <c r="G42" s="106"/>
      <c r="H42" s="108">
        <v>1</v>
      </c>
      <c r="I42" s="109">
        <v>487518.19999999972</v>
      </c>
      <c r="J42" s="109">
        <v>1234</v>
      </c>
      <c r="K42" s="109">
        <v>1234</v>
      </c>
      <c r="L42" s="109">
        <v>425462.73</v>
      </c>
      <c r="M42" s="109">
        <v>2100000</v>
      </c>
      <c r="N42" s="21">
        <f>IFERROR(L42/I42,"")</f>
        <v>0.87271148030986379</v>
      </c>
      <c r="O42" s="21">
        <f>IF(D42="a",K42/25000,IF(D42="b",K42/15000,IF(D42="c",K42/5000)))/H42</f>
        <v>0.24679999999999999</v>
      </c>
    </row>
    <row r="43" spans="2:15" x14ac:dyDescent="0.3">
      <c r="B43" s="104" t="s">
        <v>182</v>
      </c>
      <c r="C43" s="105" t="s">
        <v>131</v>
      </c>
      <c r="D43" s="105" t="s">
        <v>17</v>
      </c>
      <c r="E43" s="106">
        <v>45749</v>
      </c>
      <c r="F43" s="107">
        <v>4</v>
      </c>
      <c r="G43" s="106">
        <v>46527</v>
      </c>
      <c r="H43" s="108">
        <v>2</v>
      </c>
      <c r="I43" s="109">
        <v>5983519.7300000116</v>
      </c>
      <c r="J43" s="109">
        <v>16925</v>
      </c>
      <c r="K43" s="109">
        <v>15323</v>
      </c>
      <c r="L43" s="109">
        <v>6763563.8300000001</v>
      </c>
      <c r="M43" s="109">
        <v>7500000</v>
      </c>
      <c r="N43" s="21">
        <f>IFERROR(L43/I43,"")</f>
        <v>1.1303654262371734</v>
      </c>
      <c r="O43" s="21">
        <f>IF(D43="a",K43/25000,IF(D43="b",K43/15000,IF(D43="c",K43/5000)))/H43</f>
        <v>0.5107666666666667</v>
      </c>
    </row>
    <row r="44" spans="2:15" x14ac:dyDescent="0.3">
      <c r="B44" s="104" t="s">
        <v>278</v>
      </c>
      <c r="C44" s="105" t="s">
        <v>131</v>
      </c>
      <c r="D44" s="105" t="s">
        <v>3</v>
      </c>
      <c r="E44" s="106">
        <v>45790</v>
      </c>
      <c r="F44" s="107">
        <v>5</v>
      </c>
      <c r="G44" s="106"/>
      <c r="H44" s="108">
        <v>1</v>
      </c>
      <c r="I44" s="109">
        <v>535206.62000000069</v>
      </c>
      <c r="J44" s="109">
        <v>1443</v>
      </c>
      <c r="K44" s="109">
        <v>1443</v>
      </c>
      <c r="L44" s="109">
        <v>594714.10000000009</v>
      </c>
      <c r="M44" s="109">
        <v>3000000</v>
      </c>
      <c r="N44" s="21">
        <f>IFERROR(L44/I44,"")</f>
        <v>1.1111859939251112</v>
      </c>
      <c r="O44" s="21">
        <f>IF(D44="a",K44/25000,IF(D44="b",K44/15000,IF(D44="c",K44/5000)))/H44</f>
        <v>0.28860000000000002</v>
      </c>
    </row>
    <row r="45" spans="2:15" x14ac:dyDescent="0.3">
      <c r="B45" s="104" t="s">
        <v>101</v>
      </c>
      <c r="C45" s="105" t="s">
        <v>70</v>
      </c>
      <c r="D45" s="105" t="s">
        <v>3</v>
      </c>
      <c r="E45" s="106">
        <v>45733</v>
      </c>
      <c r="F45" s="107">
        <v>3</v>
      </c>
      <c r="G45" s="106"/>
      <c r="H45" s="108">
        <v>1</v>
      </c>
      <c r="I45" s="109">
        <v>1108835.8799999999</v>
      </c>
      <c r="J45" s="109">
        <v>3176</v>
      </c>
      <c r="K45" s="109">
        <v>3176</v>
      </c>
      <c r="L45" s="109">
        <v>1253141.04</v>
      </c>
      <c r="M45" s="109">
        <v>2589700</v>
      </c>
      <c r="N45" s="21">
        <f>IFERROR(L45/I45,"")</f>
        <v>1.1301411350433574</v>
      </c>
      <c r="O45" s="21">
        <f>IF(D45="a",K45/25000,IF(D45="b",K45/15000,IF(D45="c",K45/5000)))/H45</f>
        <v>0.63519999999999999</v>
      </c>
    </row>
    <row r="46" spans="2:15" x14ac:dyDescent="0.3">
      <c r="B46" s="104" t="s">
        <v>525</v>
      </c>
      <c r="C46" s="105" t="s">
        <v>13</v>
      </c>
      <c r="D46" s="105" t="s">
        <v>3</v>
      </c>
      <c r="E46" s="106">
        <v>46148</v>
      </c>
      <c r="F46" s="107" t="s">
        <v>526</v>
      </c>
      <c r="G46" s="106"/>
      <c r="H46" s="108">
        <v>1</v>
      </c>
      <c r="I46" s="109">
        <v>78884.049999999974</v>
      </c>
      <c r="J46" s="109">
        <v>175</v>
      </c>
      <c r="K46" s="109">
        <v>175</v>
      </c>
      <c r="L46" s="109">
        <v>0</v>
      </c>
      <c r="M46" s="109">
        <v>2900000</v>
      </c>
      <c r="N46" s="21">
        <f>IFERROR(L46/I46,"")</f>
        <v>0</v>
      </c>
      <c r="O46" s="21">
        <f>IF(D46="a",K46/25000,IF(D46="b",K46/15000,IF(D46="c",K46/5000)))/H46</f>
        <v>3.5000000000000003E-2</v>
      </c>
    </row>
    <row r="47" spans="2:15" x14ac:dyDescent="0.3">
      <c r="B47" s="104" t="s">
        <v>268</v>
      </c>
      <c r="C47" s="105" t="s">
        <v>9</v>
      </c>
      <c r="D47" s="105" t="s">
        <v>3</v>
      </c>
      <c r="E47" s="106">
        <v>45799</v>
      </c>
      <c r="F47" s="107">
        <v>5</v>
      </c>
      <c r="G47" s="106"/>
      <c r="H47" s="108">
        <v>1</v>
      </c>
      <c r="I47" s="109">
        <v>745237.00000000605</v>
      </c>
      <c r="J47" s="109">
        <v>2352</v>
      </c>
      <c r="K47" s="109">
        <v>2053</v>
      </c>
      <c r="L47" s="109">
        <v>801164</v>
      </c>
      <c r="M47" s="109">
        <v>3000000</v>
      </c>
      <c r="N47" s="21">
        <f>IFERROR(L47/I47,"")</f>
        <v>1.0750459249876128</v>
      </c>
      <c r="O47" s="21">
        <f>IF(D47="a",K47/25000,IF(D47="b",K47/15000,IF(D47="c",K47/5000)))/H47</f>
        <v>0.41060000000000002</v>
      </c>
    </row>
    <row r="48" spans="2:15" x14ac:dyDescent="0.3">
      <c r="B48" s="104" t="s">
        <v>212</v>
      </c>
      <c r="C48" s="105" t="s">
        <v>86</v>
      </c>
      <c r="D48" s="105" t="s">
        <v>3</v>
      </c>
      <c r="E48" s="106">
        <v>45775</v>
      </c>
      <c r="F48" s="107">
        <v>4</v>
      </c>
      <c r="G48" s="106"/>
      <c r="H48" s="108">
        <v>1</v>
      </c>
      <c r="I48" s="109">
        <v>422023.9</v>
      </c>
      <c r="J48" s="109">
        <v>1279</v>
      </c>
      <c r="K48" s="109">
        <v>1279</v>
      </c>
      <c r="L48" s="109">
        <v>477226.69999999995</v>
      </c>
      <c r="M48" s="109">
        <v>1950000</v>
      </c>
      <c r="N48" s="21">
        <f>IFERROR(L48/I48,"")</f>
        <v>1.1308049141292706</v>
      </c>
      <c r="O48" s="21">
        <f>IF(D48="a",K48/25000,IF(D48="b",K48/15000,IF(D48="c",K48/5000)))/H48</f>
        <v>0.25580000000000003</v>
      </c>
    </row>
    <row r="49" spans="2:15" x14ac:dyDescent="0.3">
      <c r="B49" s="104" t="s">
        <v>176</v>
      </c>
      <c r="C49" s="105" t="s">
        <v>168</v>
      </c>
      <c r="D49" s="105" t="s">
        <v>3</v>
      </c>
      <c r="E49" s="106">
        <v>45771</v>
      </c>
      <c r="F49" s="107">
        <v>4</v>
      </c>
      <c r="G49" s="106"/>
      <c r="H49" s="108">
        <v>1</v>
      </c>
      <c r="I49" s="109">
        <v>2179411.31</v>
      </c>
      <c r="J49" s="109">
        <v>6442</v>
      </c>
      <c r="K49" s="109">
        <v>5916</v>
      </c>
      <c r="L49" s="109">
        <v>2459468.6</v>
      </c>
      <c r="M49" s="109">
        <v>3600000</v>
      </c>
      <c r="N49" s="21">
        <f>IFERROR(L49/I49,"")</f>
        <v>1.128501347457906</v>
      </c>
      <c r="O49" s="21">
        <f>IF(D49="a",K49/25000,IF(D49="b",K49/15000,IF(D49="c",K49/5000)))/H49</f>
        <v>1.1832</v>
      </c>
    </row>
    <row r="50" spans="2:15" x14ac:dyDescent="0.3">
      <c r="B50" s="104" t="s">
        <v>147</v>
      </c>
      <c r="C50" s="105" t="s">
        <v>9</v>
      </c>
      <c r="D50" s="105" t="s">
        <v>3</v>
      </c>
      <c r="E50" s="106">
        <v>45770</v>
      </c>
      <c r="F50" s="107">
        <v>4</v>
      </c>
      <c r="G50" s="106">
        <v>46499</v>
      </c>
      <c r="H50" s="108">
        <v>2</v>
      </c>
      <c r="I50" s="109">
        <v>5310012.9100000076</v>
      </c>
      <c r="J50" s="109">
        <v>17204</v>
      </c>
      <c r="K50" s="109">
        <v>15358</v>
      </c>
      <c r="L50" s="109">
        <v>6000000</v>
      </c>
      <c r="M50" s="109">
        <v>6000000</v>
      </c>
      <c r="N50" s="21">
        <f>IFERROR(L50/I50,"")</f>
        <v>1.1299407556430954</v>
      </c>
      <c r="O50" s="21">
        <f>IF(D50="a",K50/25000,IF(D50="b",K50/15000,IF(D50="c",K50/5000)))/H50</f>
        <v>1.5358000000000001</v>
      </c>
    </row>
    <row r="51" spans="2:15" x14ac:dyDescent="0.3">
      <c r="B51" s="104" t="s">
        <v>507</v>
      </c>
      <c r="C51" s="105" t="s">
        <v>9</v>
      </c>
      <c r="D51" s="105" t="s">
        <v>10</v>
      </c>
      <c r="E51" s="106">
        <v>46140</v>
      </c>
      <c r="F51" s="107" t="s">
        <v>508</v>
      </c>
      <c r="G51" s="106"/>
      <c r="H51" s="108">
        <v>1</v>
      </c>
      <c r="I51" s="109">
        <v>2943562.8900000006</v>
      </c>
      <c r="J51" s="109">
        <v>9603</v>
      </c>
      <c r="K51" s="109">
        <v>9384</v>
      </c>
      <c r="L51" s="109">
        <v>2236445.2400000002</v>
      </c>
      <c r="M51" s="109">
        <v>9000000</v>
      </c>
      <c r="N51" s="21">
        <f>IFERROR(L51/I51,"")</f>
        <v>0.75977491345530579</v>
      </c>
      <c r="O51" s="21">
        <f>IF(D51="a",K51/25000,IF(D51="b",K51/15000,IF(D51="c",K51/5000)))/H51</f>
        <v>0.37536000000000003</v>
      </c>
    </row>
    <row r="52" spans="2:15" x14ac:dyDescent="0.3">
      <c r="B52" s="104" t="s">
        <v>52</v>
      </c>
      <c r="C52" s="105" t="s">
        <v>6</v>
      </c>
      <c r="D52" s="105" t="s">
        <v>3</v>
      </c>
      <c r="E52" s="106">
        <v>45747</v>
      </c>
      <c r="F52" s="107">
        <v>3</v>
      </c>
      <c r="G52" s="106"/>
      <c r="H52" s="108">
        <v>1</v>
      </c>
      <c r="I52" s="109">
        <v>1939106.2200000039</v>
      </c>
      <c r="J52" s="109">
        <v>6117</v>
      </c>
      <c r="K52" s="109">
        <v>5398</v>
      </c>
      <c r="L52" s="109">
        <v>2191187.81</v>
      </c>
      <c r="M52" s="109">
        <v>2191187.81</v>
      </c>
      <c r="N52" s="21">
        <f>IFERROR(L52/I52,"")</f>
        <v>1.1299988558646341</v>
      </c>
      <c r="O52" s="21">
        <f>IF(D52="a",K52/25000,IF(D52="b",K52/15000,IF(D52="c",K52/5000)))/H52</f>
        <v>1.0795999999999999</v>
      </c>
    </row>
    <row r="53" spans="2:15" x14ac:dyDescent="0.3">
      <c r="B53" s="104" t="s">
        <v>374</v>
      </c>
      <c r="C53" s="105" t="s">
        <v>6</v>
      </c>
      <c r="D53" s="105" t="s">
        <v>17</v>
      </c>
      <c r="E53" s="106">
        <v>45882</v>
      </c>
      <c r="F53" s="107">
        <v>8</v>
      </c>
      <c r="G53" s="106"/>
      <c r="H53" s="108">
        <v>1</v>
      </c>
      <c r="I53" s="109">
        <v>6148259.2200000277</v>
      </c>
      <c r="J53" s="109">
        <v>21369</v>
      </c>
      <c r="K53" s="109">
        <v>17183</v>
      </c>
      <c r="L53" s="109">
        <v>6947528.0999999996</v>
      </c>
      <c r="M53" s="109">
        <v>6947528.0999999996</v>
      </c>
      <c r="N53" s="21">
        <f>IFERROR(L53/I53,"")</f>
        <v>1.1299992162659609</v>
      </c>
      <c r="O53" s="21">
        <f>IF(D53="a",K53/25000,IF(D53="b",K53/15000,IF(D53="c",K53/5000)))/H53</f>
        <v>1.1455333333333333</v>
      </c>
    </row>
    <row r="54" spans="2:15" x14ac:dyDescent="0.3">
      <c r="B54" s="104" t="s">
        <v>405</v>
      </c>
      <c r="C54" s="105" t="s">
        <v>6</v>
      </c>
      <c r="D54" s="105" t="s">
        <v>10</v>
      </c>
      <c r="E54" s="106">
        <v>46036</v>
      </c>
      <c r="F54" s="107" t="s">
        <v>406</v>
      </c>
      <c r="G54" s="106"/>
      <c r="H54" s="108">
        <v>1</v>
      </c>
      <c r="I54" s="109">
        <v>7079808.8000000017</v>
      </c>
      <c r="J54" s="109">
        <v>25392</v>
      </c>
      <c r="K54" s="109">
        <v>20935</v>
      </c>
      <c r="L54" s="109">
        <v>7383809.4100000011</v>
      </c>
      <c r="M54" s="109">
        <v>9250000</v>
      </c>
      <c r="N54" s="21">
        <f>IFERROR(L54/I54,"")</f>
        <v>1.0429390988637997</v>
      </c>
      <c r="O54" s="21">
        <f>IF(D54="a",K54/25000,IF(D54="b",K54/15000,IF(D54="c",K54/5000)))/H54</f>
        <v>0.83740000000000003</v>
      </c>
    </row>
    <row r="55" spans="2:15" x14ac:dyDescent="0.3">
      <c r="B55" s="104" t="s">
        <v>123</v>
      </c>
      <c r="C55" s="105" t="s">
        <v>6</v>
      </c>
      <c r="D55" s="105" t="s">
        <v>3</v>
      </c>
      <c r="E55" s="106">
        <v>45720</v>
      </c>
      <c r="F55" s="107">
        <v>3</v>
      </c>
      <c r="G55" s="106"/>
      <c r="H55" s="108">
        <v>1</v>
      </c>
      <c r="I55" s="109">
        <v>958762.11000000034</v>
      </c>
      <c r="J55" s="109">
        <v>2763</v>
      </c>
      <c r="K55" s="109">
        <v>2529</v>
      </c>
      <c r="L55" s="109">
        <v>1041577.09</v>
      </c>
      <c r="M55" s="109">
        <v>3000000</v>
      </c>
      <c r="N55" s="21">
        <f>IFERROR(L55/I55,"")</f>
        <v>1.086376984589013</v>
      </c>
      <c r="O55" s="21">
        <f>IF(D55="a",K55/25000,IF(D55="b",K55/15000,IF(D55="c",K55/5000)))/H55</f>
        <v>0.50580000000000003</v>
      </c>
    </row>
    <row r="56" spans="2:15" x14ac:dyDescent="0.3">
      <c r="B56" s="104" t="s">
        <v>35</v>
      </c>
      <c r="C56" s="105" t="s">
        <v>36</v>
      </c>
      <c r="D56" s="105" t="s">
        <v>3</v>
      </c>
      <c r="E56" s="106">
        <v>45715</v>
      </c>
      <c r="F56" s="107">
        <v>2</v>
      </c>
      <c r="G56" s="106">
        <v>46312</v>
      </c>
      <c r="H56" s="108">
        <v>2</v>
      </c>
      <c r="I56" s="109">
        <v>2604902.910000002</v>
      </c>
      <c r="J56" s="109">
        <v>6867</v>
      </c>
      <c r="K56" s="109">
        <v>6317</v>
      </c>
      <c r="L56" s="109">
        <v>2888976.43</v>
      </c>
      <c r="M56" s="109">
        <v>3000000</v>
      </c>
      <c r="N56" s="21">
        <f>IFERROR(L56/I56,"")</f>
        <v>1.10905340038182</v>
      </c>
      <c r="O56" s="21">
        <f>IF(D56="a",K56/25000,IF(D56="b",K56/15000,IF(D56="c",K56/5000)))/H56</f>
        <v>0.63170000000000004</v>
      </c>
    </row>
    <row r="57" spans="2:15" x14ac:dyDescent="0.3">
      <c r="B57" s="104" t="s">
        <v>431</v>
      </c>
      <c r="C57" s="105" t="s">
        <v>13</v>
      </c>
      <c r="D57" s="105" t="s">
        <v>10</v>
      </c>
      <c r="E57" s="106">
        <v>46078</v>
      </c>
      <c r="F57" s="107" t="s">
        <v>410</v>
      </c>
      <c r="G57" s="106"/>
      <c r="H57" s="108">
        <v>1</v>
      </c>
      <c r="I57" s="109">
        <v>2955939.3800000027</v>
      </c>
      <c r="J57" s="109">
        <v>8808</v>
      </c>
      <c r="K57" s="109">
        <v>8808</v>
      </c>
      <c r="L57" s="109">
        <v>2487389.5</v>
      </c>
      <c r="M57" s="109">
        <v>9250000</v>
      </c>
      <c r="N57" s="21">
        <f>IFERROR(L57/I57,"")</f>
        <v>0.84148867085359436</v>
      </c>
      <c r="O57" s="21">
        <f>IF(D57="a",K57/25000,IF(D57="b",K57/15000,IF(D57="c",K57/5000)))/H57</f>
        <v>0.35232000000000002</v>
      </c>
    </row>
    <row r="58" spans="2:15" x14ac:dyDescent="0.3">
      <c r="B58" s="104" t="s">
        <v>105</v>
      </c>
      <c r="C58" s="105" t="s">
        <v>13</v>
      </c>
      <c r="D58" s="105" t="s">
        <v>3</v>
      </c>
      <c r="E58" s="106">
        <v>45743</v>
      </c>
      <c r="F58" s="107">
        <v>3</v>
      </c>
      <c r="G58" s="106">
        <v>46472</v>
      </c>
      <c r="H58" s="108">
        <v>2</v>
      </c>
      <c r="I58" s="109">
        <v>2463387.0000000005</v>
      </c>
      <c r="J58" s="109">
        <v>7278</v>
      </c>
      <c r="K58" s="109">
        <v>6815</v>
      </c>
      <c r="L58" s="109">
        <v>2637386.8500000006</v>
      </c>
      <c r="M58" s="109">
        <v>3400369.74</v>
      </c>
      <c r="N58" s="21">
        <f>IFERROR(L58/I58,"")</f>
        <v>1.0706343948393005</v>
      </c>
      <c r="O58" s="21">
        <f>IF(D58="a",K58/25000,IF(D58="b",K58/15000,IF(D58="c",K58/5000)))/H58</f>
        <v>0.68149999999999999</v>
      </c>
    </row>
    <row r="59" spans="2:15" x14ac:dyDescent="0.3">
      <c r="B59" s="104" t="s">
        <v>12</v>
      </c>
      <c r="C59" s="105" t="s">
        <v>13</v>
      </c>
      <c r="D59" s="105" t="s">
        <v>3</v>
      </c>
      <c r="E59" s="106">
        <v>45706</v>
      </c>
      <c r="F59" s="107">
        <v>2</v>
      </c>
      <c r="G59" s="106"/>
      <c r="H59" s="108">
        <v>1</v>
      </c>
      <c r="I59" s="109">
        <v>2428924.0299999979</v>
      </c>
      <c r="J59" s="109">
        <v>6897</v>
      </c>
      <c r="K59" s="109">
        <v>6227</v>
      </c>
      <c r="L59" s="109">
        <v>2752463.1000000006</v>
      </c>
      <c r="M59" s="109">
        <v>2745194.14</v>
      </c>
      <c r="N59" s="21">
        <f>IFERROR(L59/I59,"")</f>
        <v>1.1332026304667926</v>
      </c>
      <c r="O59" s="21">
        <f>IF(D59="a",K59/25000,IF(D59="b",K59/15000,IF(D59="c",K59/5000)))/H59</f>
        <v>1.2454000000000001</v>
      </c>
    </row>
    <row r="60" spans="2:15" x14ac:dyDescent="0.3">
      <c r="B60" s="104" t="s">
        <v>79</v>
      </c>
      <c r="C60" s="105" t="s">
        <v>6</v>
      </c>
      <c r="D60" s="105" t="s">
        <v>10</v>
      </c>
      <c r="E60" s="106">
        <v>45720</v>
      </c>
      <c r="F60" s="107">
        <v>3</v>
      </c>
      <c r="G60" s="106">
        <v>46332</v>
      </c>
      <c r="H60" s="108">
        <v>2</v>
      </c>
      <c r="I60" s="109">
        <v>15796588.960000042</v>
      </c>
      <c r="J60" s="109">
        <v>54041</v>
      </c>
      <c r="K60" s="109">
        <v>44930</v>
      </c>
      <c r="L60" s="109">
        <v>16680669.01</v>
      </c>
      <c r="M60" s="109">
        <v>19900000</v>
      </c>
      <c r="N60" s="21">
        <f>IFERROR(L60/I60,"")</f>
        <v>1.0559665160775289</v>
      </c>
      <c r="O60" s="21">
        <f>IF(D60="a",K60/25000,IF(D60="b",K60/15000,IF(D60="c",K60/5000)))/H60</f>
        <v>0.89859999999999995</v>
      </c>
    </row>
    <row r="61" spans="2:15" x14ac:dyDescent="0.3">
      <c r="B61" s="104" t="s">
        <v>266</v>
      </c>
      <c r="C61" s="105" t="s">
        <v>131</v>
      </c>
      <c r="D61" s="105" t="s">
        <v>3</v>
      </c>
      <c r="E61" s="106">
        <v>45804</v>
      </c>
      <c r="F61" s="107">
        <v>5</v>
      </c>
      <c r="G61" s="106"/>
      <c r="H61" s="108">
        <v>1</v>
      </c>
      <c r="I61" s="109">
        <v>767058.46999999799</v>
      </c>
      <c r="J61" s="109">
        <v>2212</v>
      </c>
      <c r="K61" s="109">
        <v>2148</v>
      </c>
      <c r="L61" s="109">
        <v>825216.77000000025</v>
      </c>
      <c r="M61" s="109">
        <v>3000000</v>
      </c>
      <c r="N61" s="21">
        <f>IFERROR(L61/I61,"")</f>
        <v>1.0758199045765082</v>
      </c>
      <c r="O61" s="21">
        <f>IF(D61="a",K61/25000,IF(D61="b",K61/15000,IF(D61="c",K61/5000)))/H61</f>
        <v>0.42959999999999998</v>
      </c>
    </row>
    <row r="62" spans="2:15" x14ac:dyDescent="0.3">
      <c r="B62" s="104" t="s">
        <v>432</v>
      </c>
      <c r="C62" s="105" t="s">
        <v>42</v>
      </c>
      <c r="D62" s="105" t="s">
        <v>3</v>
      </c>
      <c r="E62" s="106">
        <v>46115</v>
      </c>
      <c r="F62" s="107" t="s">
        <v>508</v>
      </c>
      <c r="G62" s="106"/>
      <c r="H62" s="108">
        <v>1</v>
      </c>
      <c r="I62" s="109">
        <v>16531.93</v>
      </c>
      <c r="J62" s="109">
        <v>49</v>
      </c>
      <c r="K62" s="109">
        <v>49</v>
      </c>
      <c r="L62" s="109">
        <v>13242.36</v>
      </c>
      <c r="M62" s="109">
        <v>3000000</v>
      </c>
      <c r="N62" s="21">
        <f>IFERROR(L62/I62,"")</f>
        <v>0.80101718311171177</v>
      </c>
      <c r="O62" s="21">
        <f>IF(D62="a",K62/25000,IF(D62="b",K62/15000,IF(D62="c",K62/5000)))/H62</f>
        <v>9.7999999999999997E-3</v>
      </c>
    </row>
    <row r="63" spans="2:15" x14ac:dyDescent="0.3">
      <c r="B63" s="104" t="s">
        <v>511</v>
      </c>
      <c r="C63" s="105" t="s">
        <v>16</v>
      </c>
      <c r="D63" s="105" t="s">
        <v>3</v>
      </c>
      <c r="E63" s="106">
        <v>46140</v>
      </c>
      <c r="F63" s="107" t="s">
        <v>508</v>
      </c>
      <c r="G63" s="106"/>
      <c r="H63" s="108">
        <v>1</v>
      </c>
      <c r="I63" s="109">
        <v>447713.29000000004</v>
      </c>
      <c r="J63" s="109">
        <v>1385</v>
      </c>
      <c r="K63" s="109">
        <v>1385</v>
      </c>
      <c r="L63" s="109">
        <v>285565.32</v>
      </c>
      <c r="M63" s="109">
        <v>3000000</v>
      </c>
      <c r="N63" s="21">
        <f>IFERROR(L63/I63,"")</f>
        <v>0.63783078675194116</v>
      </c>
      <c r="O63" s="21">
        <f>IF(D63="a",K63/25000,IF(D63="b",K63/15000,IF(D63="c",K63/5000)))/H63</f>
        <v>0.27700000000000002</v>
      </c>
    </row>
    <row r="64" spans="2:15" x14ac:dyDescent="0.3">
      <c r="B64" s="104" t="s">
        <v>77</v>
      </c>
      <c r="C64" s="105" t="s">
        <v>6</v>
      </c>
      <c r="D64" s="105" t="s">
        <v>10</v>
      </c>
      <c r="E64" s="106">
        <v>45720</v>
      </c>
      <c r="F64" s="107">
        <v>3</v>
      </c>
      <c r="G64" s="106">
        <v>46305</v>
      </c>
      <c r="H64" s="108">
        <v>2</v>
      </c>
      <c r="I64" s="109">
        <v>13783307.639999941</v>
      </c>
      <c r="J64" s="109">
        <v>49225</v>
      </c>
      <c r="K64" s="109">
        <v>39781</v>
      </c>
      <c r="L64" s="109">
        <v>15113404.340000002</v>
      </c>
      <c r="M64" s="109">
        <v>24411123.819999997</v>
      </c>
      <c r="N64" s="21">
        <f>IFERROR(L64/I64,"")</f>
        <v>1.0965005450607548</v>
      </c>
      <c r="O64" s="21">
        <f>IF(D64="a",K64/25000,IF(D64="b",K64/15000,IF(D64="c",K64/5000)))/H64</f>
        <v>0.79561999999999999</v>
      </c>
    </row>
    <row r="65" spans="2:15" x14ac:dyDescent="0.3">
      <c r="B65" s="104" t="s">
        <v>232</v>
      </c>
      <c r="C65" s="105" t="s">
        <v>131</v>
      </c>
      <c r="D65" s="105" t="s">
        <v>10</v>
      </c>
      <c r="E65" s="106">
        <v>45807</v>
      </c>
      <c r="F65" s="107">
        <v>5</v>
      </c>
      <c r="G65" s="106">
        <v>46399</v>
      </c>
      <c r="H65" s="108">
        <v>3</v>
      </c>
      <c r="I65" s="109">
        <v>25611601.649999689</v>
      </c>
      <c r="J65" s="109">
        <v>94181</v>
      </c>
      <c r="K65" s="109">
        <v>75756</v>
      </c>
      <c r="L65" s="109">
        <v>28941108.420000002</v>
      </c>
      <c r="M65" s="109">
        <v>28941108.420000002</v>
      </c>
      <c r="N65" s="21">
        <f>IFERROR(L65/I65,"")</f>
        <v>1.1299999435997925</v>
      </c>
      <c r="O65" s="21">
        <f>IF(D65="a",K65/25000,IF(D65="b",K65/15000,IF(D65="c",K65/5000)))/H65</f>
        <v>1.0100800000000001</v>
      </c>
    </row>
    <row r="66" spans="2:15" x14ac:dyDescent="0.3">
      <c r="B66" s="104" t="s">
        <v>18</v>
      </c>
      <c r="C66" s="105" t="s">
        <v>13</v>
      </c>
      <c r="D66" s="105" t="s">
        <v>10</v>
      </c>
      <c r="E66" s="106">
        <v>45712</v>
      </c>
      <c r="F66" s="107">
        <v>2</v>
      </c>
      <c r="G66" s="106"/>
      <c r="H66" s="108">
        <v>1</v>
      </c>
      <c r="I66" s="109">
        <v>9298713.3500000238</v>
      </c>
      <c r="J66" s="109">
        <v>32824</v>
      </c>
      <c r="K66" s="109">
        <v>26923</v>
      </c>
      <c r="L66" s="109">
        <v>10506743.32</v>
      </c>
      <c r="M66" s="109">
        <v>10506743.32</v>
      </c>
      <c r="N66" s="21">
        <f>IFERROR(L66/I66,"")</f>
        <v>1.1299136691852076</v>
      </c>
      <c r="O66" s="21">
        <f>IF(D66="a",K66/25000,IF(D66="b",K66/15000,IF(D66="c",K66/5000)))/H66</f>
        <v>1.0769200000000001</v>
      </c>
    </row>
    <row r="67" spans="2:15" x14ac:dyDescent="0.3">
      <c r="B67" s="104" t="s">
        <v>38</v>
      </c>
      <c r="C67" s="105" t="s">
        <v>13</v>
      </c>
      <c r="D67" s="105" t="s">
        <v>10</v>
      </c>
      <c r="E67" s="106">
        <v>45741</v>
      </c>
      <c r="F67" s="107">
        <v>3</v>
      </c>
      <c r="G67" s="106">
        <v>46266</v>
      </c>
      <c r="H67" s="108">
        <v>2</v>
      </c>
      <c r="I67" s="109">
        <v>44759768.329999991</v>
      </c>
      <c r="J67" s="109">
        <v>143542</v>
      </c>
      <c r="K67" s="109">
        <v>133334</v>
      </c>
      <c r="L67" s="109">
        <v>41654603.839999996</v>
      </c>
      <c r="M67" s="109">
        <v>62200000</v>
      </c>
      <c r="N67" s="21">
        <f>IFERROR(L67/I67,"")</f>
        <v>0.93062599280884184</v>
      </c>
      <c r="O67" s="21">
        <f>IF(D67="a",K67/25000,IF(D67="b",K67/15000,IF(D67="c",K67/5000)))/H67</f>
        <v>2.6666799999999999</v>
      </c>
    </row>
    <row r="68" spans="2:15" x14ac:dyDescent="0.3">
      <c r="B68" s="104" t="s">
        <v>303</v>
      </c>
      <c r="C68" s="105" t="s">
        <v>13</v>
      </c>
      <c r="D68" s="105" t="s">
        <v>3</v>
      </c>
      <c r="E68" s="106">
        <v>45813</v>
      </c>
      <c r="F68" s="107">
        <v>6</v>
      </c>
      <c r="G68" s="106"/>
      <c r="H68" s="108">
        <v>1</v>
      </c>
      <c r="I68" s="109">
        <v>2032803.8099999998</v>
      </c>
      <c r="J68" s="109">
        <v>6193</v>
      </c>
      <c r="K68" s="109">
        <v>6193</v>
      </c>
      <c r="L68" s="109">
        <v>2297069.1500000004</v>
      </c>
      <c r="M68" s="109">
        <v>2296940.4600000004</v>
      </c>
      <c r="N68" s="21">
        <f>IFERROR(L68/I68,"")</f>
        <v>1.1300004155344439</v>
      </c>
      <c r="O68" s="21">
        <f>IF(D68="a",K68/25000,IF(D68="b",K68/15000,IF(D68="c",K68/5000)))/H68</f>
        <v>1.2385999999999999</v>
      </c>
    </row>
    <row r="69" spans="2:15" x14ac:dyDescent="0.3">
      <c r="B69" s="104" t="s">
        <v>435</v>
      </c>
      <c r="C69" s="105" t="s">
        <v>13</v>
      </c>
      <c r="D69" s="105" t="s">
        <v>17</v>
      </c>
      <c r="E69" s="106">
        <v>46113</v>
      </c>
      <c r="F69" s="107" t="s">
        <v>508</v>
      </c>
      <c r="G69" s="106"/>
      <c r="H69" s="108">
        <v>1</v>
      </c>
      <c r="I69" s="109">
        <v>345548.06000000006</v>
      </c>
      <c r="J69" s="109">
        <v>1104</v>
      </c>
      <c r="K69" s="109">
        <v>1104</v>
      </c>
      <c r="L69" s="109">
        <v>210807.06</v>
      </c>
      <c r="M69" s="109">
        <v>6300000</v>
      </c>
      <c r="N69" s="21">
        <f>IFERROR(L69/I69,"")</f>
        <v>0.6100658183408697</v>
      </c>
      <c r="O69" s="21">
        <f>IF(D69="a",K69/25000,IF(D69="b",K69/15000,IF(D69="c",K69/5000)))/H69</f>
        <v>7.3599999999999999E-2</v>
      </c>
    </row>
    <row r="70" spans="2:15" x14ac:dyDescent="0.3">
      <c r="B70" s="104" t="s">
        <v>174</v>
      </c>
      <c r="C70" s="105" t="s">
        <v>13</v>
      </c>
      <c r="D70" s="105" t="s">
        <v>3</v>
      </c>
      <c r="E70" s="106">
        <v>45756</v>
      </c>
      <c r="F70" s="107">
        <v>4</v>
      </c>
      <c r="G70" s="106">
        <v>46487</v>
      </c>
      <c r="H70" s="108">
        <v>2</v>
      </c>
      <c r="I70" s="109">
        <v>1683359.1299999997</v>
      </c>
      <c r="J70" s="109">
        <v>5584</v>
      </c>
      <c r="K70" s="109">
        <v>5092</v>
      </c>
      <c r="L70" s="109">
        <v>1900745.1300000001</v>
      </c>
      <c r="M70" s="109">
        <v>3352318.19</v>
      </c>
      <c r="N70" s="21">
        <f>IFERROR(L70/I70,"")</f>
        <v>1.1291382190085608</v>
      </c>
      <c r="O70" s="21">
        <f>IF(D70="a",K70/25000,IF(D70="b",K70/15000,IF(D70="c",K70/5000)))/H70</f>
        <v>0.50919999999999999</v>
      </c>
    </row>
    <row r="71" spans="2:15" x14ac:dyDescent="0.3">
      <c r="B71" s="104" t="s">
        <v>362</v>
      </c>
      <c r="C71" s="105" t="s">
        <v>13</v>
      </c>
      <c r="D71" s="105" t="s">
        <v>3</v>
      </c>
      <c r="E71" s="106">
        <v>45845</v>
      </c>
      <c r="F71" s="107">
        <v>7</v>
      </c>
      <c r="G71" s="106"/>
      <c r="H71" s="108">
        <v>1</v>
      </c>
      <c r="I71" s="109">
        <v>1029203.27</v>
      </c>
      <c r="J71" s="109">
        <v>2889</v>
      </c>
      <c r="K71" s="109">
        <v>2889</v>
      </c>
      <c r="L71" s="109">
        <v>1016622.5200000001</v>
      </c>
      <c r="M71" s="109">
        <v>3202000</v>
      </c>
      <c r="N71" s="21">
        <f>IFERROR(L71/I71,"")</f>
        <v>0.98777622422439459</v>
      </c>
      <c r="O71" s="21">
        <f>IF(D71="a",K71/25000,IF(D71="b",K71/15000,IF(D71="c",K71/5000)))/H71</f>
        <v>0.57779999999999998</v>
      </c>
    </row>
    <row r="72" spans="2:15" x14ac:dyDescent="0.3">
      <c r="B72" s="104" t="s">
        <v>407</v>
      </c>
      <c r="C72" s="105" t="s">
        <v>13</v>
      </c>
      <c r="D72" s="105" t="s">
        <v>10</v>
      </c>
      <c r="E72" s="106">
        <v>46036</v>
      </c>
      <c r="F72" s="107" t="s">
        <v>406</v>
      </c>
      <c r="G72" s="106"/>
      <c r="H72" s="108">
        <v>1</v>
      </c>
      <c r="I72" s="109">
        <v>4379130.7299999986</v>
      </c>
      <c r="J72" s="109">
        <v>9877</v>
      </c>
      <c r="K72" s="109">
        <v>9877</v>
      </c>
      <c r="L72" s="109">
        <v>3798561.59</v>
      </c>
      <c r="M72" s="109">
        <v>9000000</v>
      </c>
      <c r="N72" s="21">
        <f>IFERROR(L72/I72,"")</f>
        <v>0.86742365647531172</v>
      </c>
      <c r="O72" s="21">
        <f>IF(D72="a",K72/25000,IF(D72="b",K72/15000,IF(D72="c",K72/5000)))/H72</f>
        <v>0.39507999999999999</v>
      </c>
    </row>
    <row r="73" spans="2:15" x14ac:dyDescent="0.3">
      <c r="B73" s="104" t="s">
        <v>121</v>
      </c>
      <c r="C73" s="105" t="s">
        <v>13</v>
      </c>
      <c r="D73" s="105" t="s">
        <v>3</v>
      </c>
      <c r="E73" s="106">
        <v>45743</v>
      </c>
      <c r="F73" s="107">
        <v>3</v>
      </c>
      <c r="G73" s="106"/>
      <c r="H73" s="108">
        <v>1</v>
      </c>
      <c r="I73" s="109">
        <v>1287200.98</v>
      </c>
      <c r="J73" s="109">
        <v>2786</v>
      </c>
      <c r="K73" s="109">
        <v>2784</v>
      </c>
      <c r="L73" s="109">
        <v>1399494.0500000003</v>
      </c>
      <c r="M73" s="109">
        <v>3000000</v>
      </c>
      <c r="N73" s="21">
        <f>IFERROR(L73/I73,"")</f>
        <v>1.0872381793867187</v>
      </c>
      <c r="O73" s="21">
        <f>IF(D73="a",K73/25000,IF(D73="b",K73/15000,IF(D73="c",K73/5000)))/H73</f>
        <v>0.55679999999999996</v>
      </c>
    </row>
    <row r="74" spans="2:15" x14ac:dyDescent="0.3">
      <c r="B74" s="104" t="s">
        <v>392</v>
      </c>
      <c r="C74" s="105" t="s">
        <v>13</v>
      </c>
      <c r="D74" s="105" t="s">
        <v>3</v>
      </c>
      <c r="E74" s="106">
        <v>45908</v>
      </c>
      <c r="F74" s="107">
        <v>9</v>
      </c>
      <c r="G74" s="106"/>
      <c r="H74" s="108">
        <v>1</v>
      </c>
      <c r="I74" s="109">
        <v>477716.35000000009</v>
      </c>
      <c r="J74" s="109">
        <v>1357</v>
      </c>
      <c r="K74" s="109">
        <v>1356</v>
      </c>
      <c r="L74" s="109">
        <v>476015.54000000004</v>
      </c>
      <c r="M74" s="109">
        <v>3000000</v>
      </c>
      <c r="N74" s="21">
        <f>IFERROR(L74/I74,"")</f>
        <v>0.99643970737028353</v>
      </c>
      <c r="O74" s="21">
        <f>IF(D74="a",K74/25000,IF(D74="b",K74/15000,IF(D74="c",K74/5000)))/H74</f>
        <v>0.2712</v>
      </c>
    </row>
    <row r="75" spans="2:15" x14ac:dyDescent="0.3">
      <c r="B75" s="104" t="s">
        <v>143</v>
      </c>
      <c r="C75" s="105" t="s">
        <v>13</v>
      </c>
      <c r="D75" s="105" t="s">
        <v>3</v>
      </c>
      <c r="E75" s="106">
        <v>45768</v>
      </c>
      <c r="F75" s="107">
        <v>4</v>
      </c>
      <c r="G75" s="106">
        <v>46492</v>
      </c>
      <c r="H75" s="108">
        <v>2</v>
      </c>
      <c r="I75" s="109">
        <v>4273744.0499999952</v>
      </c>
      <c r="J75" s="109">
        <v>11911</v>
      </c>
      <c r="K75" s="109">
        <v>11911</v>
      </c>
      <c r="L75" s="109">
        <v>4254062.8899999997</v>
      </c>
      <c r="M75" s="109">
        <v>5847200.0899999999</v>
      </c>
      <c r="N75" s="21">
        <f>IFERROR(L75/I75,"")</f>
        <v>0.99539486694342505</v>
      </c>
      <c r="O75" s="21">
        <f>IF(D75="a",K75/25000,IF(D75="b",K75/15000,IF(D75="c",K75/5000)))/H75</f>
        <v>1.1911</v>
      </c>
    </row>
    <row r="76" spans="2:15" x14ac:dyDescent="0.3">
      <c r="B76" s="104" t="s">
        <v>418</v>
      </c>
      <c r="C76" s="105" t="s">
        <v>42</v>
      </c>
      <c r="D76" s="105" t="s">
        <v>3</v>
      </c>
      <c r="E76" s="106">
        <v>46092</v>
      </c>
      <c r="F76" s="107" t="s">
        <v>413</v>
      </c>
      <c r="G76" s="106"/>
      <c r="H76" s="108">
        <v>1</v>
      </c>
      <c r="I76" s="109">
        <v>37455.380000000005</v>
      </c>
      <c r="J76" s="109">
        <v>104</v>
      </c>
      <c r="K76" s="109">
        <v>104</v>
      </c>
      <c r="L76" s="109">
        <v>0</v>
      </c>
      <c r="M76" s="109">
        <v>3000000</v>
      </c>
      <c r="N76" s="21">
        <f>IFERROR(L76/I76,"")</f>
        <v>0</v>
      </c>
      <c r="O76" s="21">
        <f>IF(D76="a",K76/25000,IF(D76="b",K76/15000,IF(D76="c",K76/5000)))/H76</f>
        <v>2.0799999999999999E-2</v>
      </c>
    </row>
    <row r="77" spans="2:15" x14ac:dyDescent="0.3">
      <c r="B77" s="104" t="s">
        <v>270</v>
      </c>
      <c r="C77" s="105" t="s">
        <v>42</v>
      </c>
      <c r="D77" s="105" t="s">
        <v>3</v>
      </c>
      <c r="E77" s="106">
        <v>45796</v>
      </c>
      <c r="F77" s="107">
        <v>5</v>
      </c>
      <c r="G77" s="106"/>
      <c r="H77" s="108">
        <v>1</v>
      </c>
      <c r="I77" s="109">
        <v>930610.54999999981</v>
      </c>
      <c r="J77" s="109">
        <v>2825</v>
      </c>
      <c r="K77" s="109">
        <v>2823</v>
      </c>
      <c r="L77" s="109">
        <v>974626.07</v>
      </c>
      <c r="M77" s="109">
        <v>3000000</v>
      </c>
      <c r="N77" s="21">
        <f>IFERROR(L77/I77,"")</f>
        <v>1.0472974650889142</v>
      </c>
      <c r="O77" s="21">
        <f>IF(D77="a",K77/25000,IF(D77="b",K77/15000,IF(D77="c",K77/5000)))/H77</f>
        <v>0.56459999999999999</v>
      </c>
    </row>
    <row r="78" spans="2:15" x14ac:dyDescent="0.3">
      <c r="B78" s="104" t="s">
        <v>397</v>
      </c>
      <c r="C78" s="105" t="s">
        <v>42</v>
      </c>
      <c r="D78" s="105" t="s">
        <v>3</v>
      </c>
      <c r="E78" s="106">
        <v>45959</v>
      </c>
      <c r="F78" s="107">
        <v>10</v>
      </c>
      <c r="G78" s="106"/>
      <c r="H78" s="108">
        <v>1</v>
      </c>
      <c r="I78" s="109">
        <v>742843.30000000028</v>
      </c>
      <c r="J78" s="109">
        <v>2412</v>
      </c>
      <c r="K78" s="109">
        <v>2209</v>
      </c>
      <c r="L78" s="109">
        <v>688305.53</v>
      </c>
      <c r="M78" s="109">
        <v>3000000</v>
      </c>
      <c r="N78" s="21">
        <f>IFERROR(L78/I78,"")</f>
        <v>0.92658240304516415</v>
      </c>
      <c r="O78" s="21">
        <f>IF(D78="a",K78/25000,IF(D78="b",K78/15000,IF(D78="c",K78/5000)))/H78</f>
        <v>0.44180000000000003</v>
      </c>
    </row>
    <row r="79" spans="2:15" x14ac:dyDescent="0.3">
      <c r="B79" s="104" t="s">
        <v>376</v>
      </c>
      <c r="C79" s="105" t="s">
        <v>9</v>
      </c>
      <c r="D79" s="105" t="s">
        <v>3</v>
      </c>
      <c r="E79" s="106">
        <v>45877</v>
      </c>
      <c r="F79" s="107">
        <v>8</v>
      </c>
      <c r="G79" s="106"/>
      <c r="H79" s="108">
        <v>1</v>
      </c>
      <c r="I79" s="109">
        <v>1772181.4600000007</v>
      </c>
      <c r="J79" s="109">
        <v>5915</v>
      </c>
      <c r="K79" s="109">
        <v>5394</v>
      </c>
      <c r="L79" s="109">
        <v>2003029</v>
      </c>
      <c r="M79" s="109">
        <v>3000000</v>
      </c>
      <c r="N79" s="21">
        <f>IFERROR(L79/I79,"")</f>
        <v>1.1302617961029788</v>
      </c>
      <c r="O79" s="21">
        <f>IF(D79="a",K79/25000,IF(D79="b",K79/15000,IF(D79="c",K79/5000)))/H79</f>
        <v>1.0788</v>
      </c>
    </row>
    <row r="80" spans="2:15" x14ac:dyDescent="0.3">
      <c r="B80" s="104" t="s">
        <v>103</v>
      </c>
      <c r="C80" s="105" t="s">
        <v>36</v>
      </c>
      <c r="D80" s="105" t="s">
        <v>3</v>
      </c>
      <c r="E80" s="106">
        <v>45742</v>
      </c>
      <c r="F80" s="107">
        <v>3</v>
      </c>
      <c r="G80" s="106">
        <v>46472</v>
      </c>
      <c r="H80" s="108">
        <v>2</v>
      </c>
      <c r="I80" s="109">
        <v>2978419.4699999979</v>
      </c>
      <c r="J80" s="109">
        <v>8178</v>
      </c>
      <c r="K80" s="109">
        <v>8150</v>
      </c>
      <c r="L80" s="109">
        <v>3234253.3000000003</v>
      </c>
      <c r="M80" s="109">
        <v>4440000</v>
      </c>
      <c r="N80" s="21">
        <f>IFERROR(L80/I80,"")</f>
        <v>1.0858958358877511</v>
      </c>
      <c r="O80" s="21">
        <f>IF(D80="a",K80/25000,IF(D80="b",K80/15000,IF(D80="c",K80/5000)))/H80</f>
        <v>0.81499999999999995</v>
      </c>
    </row>
    <row r="81" spans="1:15" x14ac:dyDescent="0.3">
      <c r="B81" s="104" t="s">
        <v>366</v>
      </c>
      <c r="C81" s="105" t="s">
        <v>36</v>
      </c>
      <c r="D81" s="105" t="s">
        <v>3</v>
      </c>
      <c r="E81" s="106">
        <v>45839</v>
      </c>
      <c r="F81" s="107">
        <v>7</v>
      </c>
      <c r="G81" s="106"/>
      <c r="H81" s="108">
        <v>1</v>
      </c>
      <c r="I81" s="109">
        <v>397648.27999999991</v>
      </c>
      <c r="J81" s="109">
        <v>1130</v>
      </c>
      <c r="K81" s="109">
        <v>1097</v>
      </c>
      <c r="L81" s="109">
        <v>448770.64000000007</v>
      </c>
      <c r="M81" s="109">
        <v>3000000</v>
      </c>
      <c r="N81" s="21">
        <f>IFERROR(L81/I81,"")</f>
        <v>1.12856175311509</v>
      </c>
      <c r="O81" s="21">
        <f>IF(D81="a",K81/25000,IF(D81="b",K81/15000,IF(D81="c",K81/5000)))/H81</f>
        <v>0.21940000000000001</v>
      </c>
    </row>
    <row r="82" spans="1:15" x14ac:dyDescent="0.3">
      <c r="A82" s="2"/>
      <c r="B82" s="104" t="s">
        <v>395</v>
      </c>
      <c r="C82" s="105" t="s">
        <v>13</v>
      </c>
      <c r="D82" s="105" t="s">
        <v>3</v>
      </c>
      <c r="E82" s="106">
        <v>45958</v>
      </c>
      <c r="F82" s="107">
        <v>10</v>
      </c>
      <c r="G82" s="106"/>
      <c r="H82" s="108">
        <v>1</v>
      </c>
      <c r="I82" s="109">
        <v>2058549.9399999995</v>
      </c>
      <c r="J82" s="109">
        <v>6510</v>
      </c>
      <c r="K82" s="109">
        <v>5939</v>
      </c>
      <c r="L82" s="109">
        <v>2179966.2399999998</v>
      </c>
      <c r="M82" s="109">
        <v>3000000</v>
      </c>
      <c r="N82" s="21">
        <f>IFERROR(L82/I82,"")</f>
        <v>1.058981469256947</v>
      </c>
      <c r="O82" s="21">
        <f>IF(D82="a",K82/25000,IF(D82="b",K82/15000,IF(D82="c",K82/5000)))/H82</f>
        <v>1.1878</v>
      </c>
    </row>
    <row r="83" spans="1:15" x14ac:dyDescent="0.3">
      <c r="B83" s="104" t="s">
        <v>327</v>
      </c>
      <c r="C83" s="105" t="s">
        <v>6</v>
      </c>
      <c r="D83" s="105" t="s">
        <v>3</v>
      </c>
      <c r="E83" s="106">
        <v>45826</v>
      </c>
      <c r="F83" s="107">
        <v>6</v>
      </c>
      <c r="G83" s="106"/>
      <c r="H83" s="108">
        <v>1</v>
      </c>
      <c r="I83" s="109">
        <v>655441.47999999917</v>
      </c>
      <c r="J83" s="109">
        <v>1520</v>
      </c>
      <c r="K83" s="109">
        <v>1520</v>
      </c>
      <c r="L83" s="109">
        <v>670941.33000000007</v>
      </c>
      <c r="M83" s="109">
        <v>3000000</v>
      </c>
      <c r="N83" s="21">
        <f>IFERROR(L83/I83,"")</f>
        <v>1.0236479540477068</v>
      </c>
      <c r="O83" s="21">
        <f>IF(D83="a",K83/25000,IF(D83="b",K83/15000,IF(D83="c",K83/5000)))/H83</f>
        <v>0.30399999999999999</v>
      </c>
    </row>
    <row r="84" spans="1:15" x14ac:dyDescent="0.3">
      <c r="B84" s="104" t="s">
        <v>382</v>
      </c>
      <c r="C84" s="105" t="s">
        <v>6</v>
      </c>
      <c r="D84" s="105" t="s">
        <v>3</v>
      </c>
      <c r="E84" s="106">
        <v>45894</v>
      </c>
      <c r="F84" s="107">
        <v>8</v>
      </c>
      <c r="G84" s="106"/>
      <c r="H84" s="108">
        <v>1</v>
      </c>
      <c r="I84" s="109">
        <v>485843.43999999983</v>
      </c>
      <c r="J84" s="109">
        <v>1132</v>
      </c>
      <c r="K84" s="109">
        <v>1132</v>
      </c>
      <c r="L84" s="109">
        <v>497161.46</v>
      </c>
      <c r="M84" s="109">
        <v>3000000</v>
      </c>
      <c r="N84" s="21">
        <f>IFERROR(L84/I84,"")</f>
        <v>1.0232956114422378</v>
      </c>
      <c r="O84" s="21">
        <f>IF(D84="a",K84/25000,IF(D84="b",K84/15000,IF(D84="c",K84/5000)))/H84</f>
        <v>0.22639999999999999</v>
      </c>
    </row>
    <row r="85" spans="1:15" x14ac:dyDescent="0.3">
      <c r="B85" s="104" t="s">
        <v>172</v>
      </c>
      <c r="C85" s="105" t="s">
        <v>6</v>
      </c>
      <c r="D85" s="105" t="s">
        <v>3</v>
      </c>
      <c r="E85" s="106">
        <v>45774</v>
      </c>
      <c r="F85" s="107">
        <v>4</v>
      </c>
      <c r="G85" s="106"/>
      <c r="H85" s="108">
        <v>1</v>
      </c>
      <c r="I85" s="109">
        <v>2218006.8900000034</v>
      </c>
      <c r="J85" s="109">
        <v>6658</v>
      </c>
      <c r="K85" s="109">
        <v>5978</v>
      </c>
      <c r="L85" s="109">
        <v>2380266.5700000003</v>
      </c>
      <c r="M85" s="109">
        <v>3000000</v>
      </c>
      <c r="N85" s="21">
        <f>IFERROR(L85/I85,"")</f>
        <v>1.0731556248682332</v>
      </c>
      <c r="O85" s="21">
        <f>IF(D85="a",K85/25000,IF(D85="b",K85/15000,IF(D85="c",K85/5000)))/H85</f>
        <v>1.1956</v>
      </c>
    </row>
    <row r="86" spans="1:15" x14ac:dyDescent="0.3">
      <c r="B86" s="104" t="s">
        <v>85</v>
      </c>
      <c r="C86" s="105" t="s">
        <v>86</v>
      </c>
      <c r="D86" s="105" t="s">
        <v>3</v>
      </c>
      <c r="E86" s="106">
        <v>45742</v>
      </c>
      <c r="F86" s="107">
        <v>3</v>
      </c>
      <c r="G86" s="106"/>
      <c r="H86" s="108">
        <v>1</v>
      </c>
      <c r="I86" s="109">
        <v>1509696.2399999993</v>
      </c>
      <c r="J86" s="109">
        <v>4260</v>
      </c>
      <c r="K86" s="109">
        <v>4260</v>
      </c>
      <c r="L86" s="109">
        <v>1652462.25</v>
      </c>
      <c r="M86" s="109">
        <v>1850000</v>
      </c>
      <c r="N86" s="21">
        <f>IFERROR(L86/I86,"")</f>
        <v>1.0945660499227321</v>
      </c>
      <c r="O86" s="21">
        <f>IF(D86="a",K86/25000,IF(D86="b",K86/15000,IF(D86="c",K86/5000)))/H86</f>
        <v>0.85199999999999998</v>
      </c>
    </row>
    <row r="87" spans="1:15" x14ac:dyDescent="0.3">
      <c r="B87" s="104" t="s">
        <v>180</v>
      </c>
      <c r="C87" s="105" t="s">
        <v>36</v>
      </c>
      <c r="D87" s="105" t="s">
        <v>17</v>
      </c>
      <c r="E87" s="106">
        <v>45769</v>
      </c>
      <c r="F87" s="107">
        <v>4</v>
      </c>
      <c r="G87" s="106"/>
      <c r="H87" s="108">
        <v>1</v>
      </c>
      <c r="I87" s="109">
        <v>4808439.1699999422</v>
      </c>
      <c r="J87" s="109">
        <v>16425</v>
      </c>
      <c r="K87" s="109">
        <v>14573</v>
      </c>
      <c r="L87" s="109">
        <v>4342920.5999999996</v>
      </c>
      <c r="M87" s="109">
        <v>6000000</v>
      </c>
      <c r="N87" s="21">
        <f>IFERROR(L87/I87,"")</f>
        <v>0.90318717705646923</v>
      </c>
      <c r="O87" s="21">
        <f>IF(D87="a",K87/25000,IF(D87="b",K87/15000,IF(D87="c",K87/5000)))/H87</f>
        <v>0.97153333333333336</v>
      </c>
    </row>
    <row r="88" spans="1:15" x14ac:dyDescent="0.3">
      <c r="B88" s="104" t="s">
        <v>333</v>
      </c>
      <c r="C88" s="105" t="s">
        <v>13</v>
      </c>
      <c r="D88" s="105" t="s">
        <v>3</v>
      </c>
      <c r="E88" s="106">
        <v>45838</v>
      </c>
      <c r="F88" s="107">
        <v>6</v>
      </c>
      <c r="G88" s="106"/>
      <c r="H88" s="108">
        <v>1</v>
      </c>
      <c r="I88" s="109">
        <v>325243.9499999999</v>
      </c>
      <c r="J88" s="109">
        <v>951</v>
      </c>
      <c r="K88" s="109">
        <v>951</v>
      </c>
      <c r="L88" s="109">
        <v>319996.19</v>
      </c>
      <c r="M88" s="109">
        <v>3000000</v>
      </c>
      <c r="N88" s="21">
        <f>IFERROR(L88/I88,"")</f>
        <v>0.98386515721506917</v>
      </c>
      <c r="O88" s="21">
        <f>IF(D88="a",K88/25000,IF(D88="b",K88/15000,IF(D88="c",K88/5000)))/H88</f>
        <v>0.19020000000000001</v>
      </c>
    </row>
    <row r="89" spans="1:15" x14ac:dyDescent="0.3">
      <c r="B89" s="104" t="s">
        <v>355</v>
      </c>
      <c r="C89" s="105" t="s">
        <v>6</v>
      </c>
      <c r="D89" s="105" t="s">
        <v>10</v>
      </c>
      <c r="E89" s="106">
        <v>45852</v>
      </c>
      <c r="F89" s="107">
        <v>7</v>
      </c>
      <c r="G89" s="106">
        <v>46393</v>
      </c>
      <c r="H89" s="108">
        <v>2</v>
      </c>
      <c r="I89" s="109">
        <v>17920116.559999965</v>
      </c>
      <c r="J89" s="109">
        <v>62469</v>
      </c>
      <c r="K89" s="109">
        <v>51513</v>
      </c>
      <c r="L89" s="109">
        <v>18188157.469999999</v>
      </c>
      <c r="M89" s="109">
        <v>21700182.16</v>
      </c>
      <c r="N89" s="21">
        <f>IFERROR(L89/I89,"")</f>
        <v>1.0149575427761635</v>
      </c>
      <c r="O89" s="21">
        <f>IF(D89="a",K89/25000,IF(D89="b",K89/15000,IF(D89="c",K89/5000)))/H89</f>
        <v>1.03026</v>
      </c>
    </row>
    <row r="90" spans="1:15" x14ac:dyDescent="0.3">
      <c r="B90" s="104" t="s">
        <v>329</v>
      </c>
      <c r="C90" s="105" t="s">
        <v>42</v>
      </c>
      <c r="D90" s="105" t="s">
        <v>17</v>
      </c>
      <c r="E90" s="106">
        <v>45827</v>
      </c>
      <c r="F90" s="107">
        <v>6</v>
      </c>
      <c r="G90" s="106"/>
      <c r="H90" s="108">
        <v>1</v>
      </c>
      <c r="I90" s="109">
        <v>1238787.7399999981</v>
      </c>
      <c r="J90" s="109">
        <v>3239</v>
      </c>
      <c r="K90" s="109">
        <v>3239</v>
      </c>
      <c r="L90" s="109">
        <v>1286299.02</v>
      </c>
      <c r="M90" s="109">
        <v>6000000</v>
      </c>
      <c r="N90" s="21">
        <f>IFERROR(L90/I90,"")</f>
        <v>1.0383530434358368</v>
      </c>
      <c r="O90" s="21">
        <f>IF(D90="a",K90/25000,IF(D90="b",K90/15000,IF(D90="c",K90/5000)))/H90</f>
        <v>0.21593333333333334</v>
      </c>
    </row>
    <row r="91" spans="1:15" x14ac:dyDescent="0.3">
      <c r="B91" s="104" t="s">
        <v>260</v>
      </c>
      <c r="C91" s="105" t="s">
        <v>2</v>
      </c>
      <c r="D91" s="105" t="s">
        <v>10</v>
      </c>
      <c r="E91" s="106">
        <v>45797</v>
      </c>
      <c r="F91" s="107">
        <v>5</v>
      </c>
      <c r="G91" s="106"/>
      <c r="H91" s="108">
        <v>1</v>
      </c>
      <c r="I91" s="109">
        <v>5512170.6299999924</v>
      </c>
      <c r="J91" s="109">
        <v>18379</v>
      </c>
      <c r="K91" s="109">
        <v>16456</v>
      </c>
      <c r="L91" s="109">
        <v>5708492.9299999997</v>
      </c>
      <c r="M91" s="109">
        <v>9000000</v>
      </c>
      <c r="N91" s="21">
        <f>IFERROR(L91/I91,"")</f>
        <v>1.0356161507286301</v>
      </c>
      <c r="O91" s="21">
        <f>IF(D91="a",K91/25000,IF(D91="b",K91/15000,IF(D91="c",K91/5000)))/H91</f>
        <v>0.65824000000000005</v>
      </c>
    </row>
    <row r="92" spans="1:15" x14ac:dyDescent="0.3">
      <c r="B92" s="104" t="s">
        <v>357</v>
      </c>
      <c r="C92" s="105" t="s">
        <v>530</v>
      </c>
      <c r="D92" s="105" t="s">
        <v>3</v>
      </c>
      <c r="E92" s="106">
        <v>45849</v>
      </c>
      <c r="F92" s="107">
        <v>7</v>
      </c>
      <c r="G92" s="106"/>
      <c r="H92" s="108">
        <v>1</v>
      </c>
      <c r="I92" s="109">
        <v>1236350.499999997</v>
      </c>
      <c r="J92" s="109">
        <v>3560</v>
      </c>
      <c r="K92" s="109">
        <v>3510</v>
      </c>
      <c r="L92" s="109">
        <v>1336023.4099999999</v>
      </c>
      <c r="M92" s="109">
        <v>3000000</v>
      </c>
      <c r="N92" s="21">
        <f>IFERROR(L92/I92,"")</f>
        <v>1.0806186514261151</v>
      </c>
      <c r="O92" s="21">
        <f>IF(D92="a",K92/25000,IF(D92="b",K92/15000,IF(D92="c",K92/5000)))/H92</f>
        <v>0.70199999999999996</v>
      </c>
    </row>
    <row r="93" spans="1:15" x14ac:dyDescent="0.3">
      <c r="B93" s="104" t="s">
        <v>50</v>
      </c>
      <c r="C93" s="105" t="s">
        <v>13</v>
      </c>
      <c r="D93" s="105" t="s">
        <v>3</v>
      </c>
      <c r="E93" s="106">
        <v>45730</v>
      </c>
      <c r="F93" s="107">
        <v>3</v>
      </c>
      <c r="G93" s="106"/>
      <c r="H93" s="108">
        <v>1</v>
      </c>
      <c r="I93" s="109">
        <v>1920601.27</v>
      </c>
      <c r="J93" s="109">
        <v>6442</v>
      </c>
      <c r="K93" s="109">
        <v>5803</v>
      </c>
      <c r="L93" s="109">
        <v>2170278.75</v>
      </c>
      <c r="M93" s="109">
        <v>2170278.75</v>
      </c>
      <c r="N93" s="21">
        <f>IFERROR(L93/I93,"")</f>
        <v>1.1299996432887915</v>
      </c>
      <c r="O93" s="21">
        <f>IF(D93="a",K93/25000,IF(D93="b",K93/15000,IF(D93="c",K93/5000)))/H93</f>
        <v>1.1606000000000001</v>
      </c>
    </row>
    <row r="94" spans="1:15" x14ac:dyDescent="0.3">
      <c r="B94" s="104" t="s">
        <v>358</v>
      </c>
      <c r="C94" s="105" t="s">
        <v>13</v>
      </c>
      <c r="D94" s="105" t="s">
        <v>10</v>
      </c>
      <c r="E94" s="106">
        <v>45859</v>
      </c>
      <c r="F94" s="107">
        <v>7</v>
      </c>
      <c r="G94" s="106"/>
      <c r="H94" s="108">
        <v>1</v>
      </c>
      <c r="I94" s="109">
        <v>6774824.8600000041</v>
      </c>
      <c r="J94" s="109">
        <v>23520</v>
      </c>
      <c r="K94" s="109">
        <v>20886</v>
      </c>
      <c r="L94" s="109">
        <v>6782177.5300000003</v>
      </c>
      <c r="M94" s="109">
        <v>9000000.0199999996</v>
      </c>
      <c r="N94" s="21">
        <f>IFERROR(L94/I94,"")</f>
        <v>1.0010852930004741</v>
      </c>
      <c r="O94" s="21">
        <f>IF(D94="a",K94/25000,IF(D94="b",K94/15000,IF(D94="c",K94/5000)))/H94</f>
        <v>0.83543999999999996</v>
      </c>
    </row>
    <row r="95" spans="1:15" x14ac:dyDescent="0.3">
      <c r="B95" s="104" t="s">
        <v>305</v>
      </c>
      <c r="C95" s="105" t="s">
        <v>13</v>
      </c>
      <c r="D95" s="105" t="s">
        <v>3</v>
      </c>
      <c r="E95" s="106">
        <v>45835</v>
      </c>
      <c r="F95" s="107">
        <v>6</v>
      </c>
      <c r="G95" s="106"/>
      <c r="H95" s="108">
        <v>1</v>
      </c>
      <c r="I95" s="109">
        <v>2418139.0400000084</v>
      </c>
      <c r="J95" s="109">
        <v>6548</v>
      </c>
      <c r="K95" s="109">
        <v>6454</v>
      </c>
      <c r="L95" s="109">
        <v>2730260.2600000002</v>
      </c>
      <c r="M95" s="109">
        <v>2730260.26</v>
      </c>
      <c r="N95" s="21">
        <f>IFERROR(L95/I95,"")</f>
        <v>1.1290749683277066</v>
      </c>
      <c r="O95" s="21">
        <f>IF(D95="a",K95/25000,IF(D95="b",K95/15000,IF(D95="c",K95/5000)))/H95</f>
        <v>1.2907999999999999</v>
      </c>
    </row>
    <row r="96" spans="1:15" x14ac:dyDescent="0.3">
      <c r="B96" s="104" t="s">
        <v>547</v>
      </c>
      <c r="C96" s="105" t="s">
        <v>13</v>
      </c>
      <c r="D96" s="105" t="s">
        <v>3</v>
      </c>
      <c r="E96" s="106">
        <v>46190</v>
      </c>
      <c r="F96" s="107" t="s">
        <v>553</v>
      </c>
      <c r="G96" s="106"/>
      <c r="H96" s="108">
        <v>1</v>
      </c>
      <c r="I96" s="109">
        <v>93189.510000000024</v>
      </c>
      <c r="J96" s="109">
        <v>293</v>
      </c>
      <c r="K96" s="109">
        <v>293</v>
      </c>
      <c r="L96" s="109">
        <v>0</v>
      </c>
      <c r="M96" s="109">
        <v>3000000</v>
      </c>
      <c r="N96" s="21">
        <f>IFERROR(L96/I96,"")</f>
        <v>0</v>
      </c>
      <c r="O96" s="21">
        <f>IF(D96="a",K96/25000,IF(D96="b",K96/15000,IF(D96="c",K96/5000)))/H96</f>
        <v>5.8599999999999999E-2</v>
      </c>
    </row>
    <row r="97" spans="2:15" x14ac:dyDescent="0.3">
      <c r="B97" s="104" t="s">
        <v>325</v>
      </c>
      <c r="C97" s="105" t="s">
        <v>13</v>
      </c>
      <c r="D97" s="105" t="s">
        <v>3</v>
      </c>
      <c r="E97" s="106">
        <v>45828</v>
      </c>
      <c r="F97" s="107">
        <v>6</v>
      </c>
      <c r="G97" s="106"/>
      <c r="H97" s="108">
        <v>1</v>
      </c>
      <c r="I97" s="109">
        <v>607771.47000000009</v>
      </c>
      <c r="J97" s="109">
        <v>1754</v>
      </c>
      <c r="K97" s="109">
        <v>1754</v>
      </c>
      <c r="L97" s="109">
        <v>584370.92000000004</v>
      </c>
      <c r="M97" s="109">
        <v>2900000</v>
      </c>
      <c r="N97" s="21">
        <f>IFERROR(L97/I97,"")</f>
        <v>0.96149778139470743</v>
      </c>
      <c r="O97" s="21">
        <f>IF(D97="a",K97/25000,IF(D97="b",K97/15000,IF(D97="c",K97/5000)))/H97</f>
        <v>0.3508</v>
      </c>
    </row>
    <row r="98" spans="2:15" x14ac:dyDescent="0.3">
      <c r="B98" s="104" t="s">
        <v>81</v>
      </c>
      <c r="C98" s="105" t="s">
        <v>6</v>
      </c>
      <c r="D98" s="105" t="s">
        <v>10</v>
      </c>
      <c r="E98" s="106">
        <v>45734</v>
      </c>
      <c r="F98" s="107">
        <v>3</v>
      </c>
      <c r="G98" s="106">
        <v>46308</v>
      </c>
      <c r="H98" s="108">
        <v>2</v>
      </c>
      <c r="I98" s="109">
        <v>18695582.479999948</v>
      </c>
      <c r="J98" s="109">
        <v>63926</v>
      </c>
      <c r="K98" s="109">
        <v>54074</v>
      </c>
      <c r="L98" s="109">
        <v>17709076.120000001</v>
      </c>
      <c r="M98" s="109">
        <v>24150000</v>
      </c>
      <c r="N98" s="21">
        <f>IFERROR(L98/I98,"")</f>
        <v>0.94723318403931589</v>
      </c>
      <c r="O98" s="21">
        <f>IF(D98="a",K98/25000,IF(D98="b",K98/15000,IF(D98="c",K98/5000)))/H98</f>
        <v>1.08148</v>
      </c>
    </row>
    <row r="99" spans="2:15" x14ac:dyDescent="0.3">
      <c r="B99" s="104" t="s">
        <v>125</v>
      </c>
      <c r="C99" s="105" t="s">
        <v>6</v>
      </c>
      <c r="D99" s="105" t="s">
        <v>10</v>
      </c>
      <c r="E99" s="106">
        <v>45722</v>
      </c>
      <c r="F99" s="107">
        <v>3</v>
      </c>
      <c r="G99" s="106"/>
      <c r="H99" s="108">
        <v>1</v>
      </c>
      <c r="I99" s="109">
        <v>4756480.2000000328</v>
      </c>
      <c r="J99" s="109">
        <v>12513</v>
      </c>
      <c r="K99" s="109">
        <v>11026</v>
      </c>
      <c r="L99" s="109">
        <v>5226361.82</v>
      </c>
      <c r="M99" s="109">
        <v>9700000</v>
      </c>
      <c r="N99" s="21">
        <f>IFERROR(L99/I99,"")</f>
        <v>1.0987876749702363</v>
      </c>
      <c r="O99" s="21">
        <f>IF(D99="a",K99/25000,IF(D99="b",K99/15000,IF(D99="c",K99/5000)))/H99</f>
        <v>0.44103999999999999</v>
      </c>
    </row>
    <row r="100" spans="2:15" x14ac:dyDescent="0.3">
      <c r="B100" s="104" t="s">
        <v>433</v>
      </c>
      <c r="C100" s="105" t="s">
        <v>16</v>
      </c>
      <c r="D100" s="105" t="s">
        <v>10</v>
      </c>
      <c r="E100" s="106">
        <v>46115</v>
      </c>
      <c r="F100" s="107" t="s">
        <v>508</v>
      </c>
      <c r="G100" s="106"/>
      <c r="H100" s="108">
        <v>1</v>
      </c>
      <c r="I100" s="109">
        <v>1889910.0100000002</v>
      </c>
      <c r="J100" s="109">
        <v>5855</v>
      </c>
      <c r="K100" s="109">
        <v>5855</v>
      </c>
      <c r="L100" s="109">
        <v>900000</v>
      </c>
      <c r="M100" s="109">
        <v>9250000</v>
      </c>
      <c r="N100" s="21">
        <f>IFERROR(L100/I100,"")</f>
        <v>0.47621315048751972</v>
      </c>
      <c r="O100" s="21">
        <f>IF(D100="a",K100/25000,IF(D100="b",K100/15000,IF(D100="c",K100/5000)))/H100</f>
        <v>0.23419999999999999</v>
      </c>
    </row>
    <row r="101" spans="2:15" x14ac:dyDescent="0.3">
      <c r="B101" s="104" t="s">
        <v>280</v>
      </c>
      <c r="C101" s="105" t="s">
        <v>2</v>
      </c>
      <c r="D101" s="105" t="s">
        <v>3</v>
      </c>
      <c r="E101" s="106">
        <v>45797</v>
      </c>
      <c r="F101" s="107">
        <v>5</v>
      </c>
      <c r="G101" s="106"/>
      <c r="H101" s="108">
        <v>1</v>
      </c>
      <c r="I101" s="109">
        <v>544779.87000000023</v>
      </c>
      <c r="J101" s="109">
        <v>1354</v>
      </c>
      <c r="K101" s="109">
        <v>1354</v>
      </c>
      <c r="L101" s="109">
        <v>612841.98999999987</v>
      </c>
      <c r="M101" s="109">
        <v>2513965.9900000002</v>
      </c>
      <c r="N101" s="21">
        <f>IFERROR(L101/I101,"")</f>
        <v>1.124935086166087</v>
      </c>
      <c r="O101" s="21">
        <f>IF(D101="a",K101/25000,IF(D101="b",K101/15000,IF(D101="c",K101/5000)))/H101</f>
        <v>0.27079999999999999</v>
      </c>
    </row>
    <row r="102" spans="2:15" x14ac:dyDescent="0.3">
      <c r="B102" s="104" t="s">
        <v>15</v>
      </c>
      <c r="C102" s="105" t="s">
        <v>16</v>
      </c>
      <c r="D102" s="105" t="s">
        <v>17</v>
      </c>
      <c r="E102" s="106">
        <v>45709</v>
      </c>
      <c r="F102" s="107">
        <v>2</v>
      </c>
      <c r="G102" s="106"/>
      <c r="H102" s="108">
        <v>1</v>
      </c>
      <c r="I102" s="109">
        <v>8225903.3799999943</v>
      </c>
      <c r="J102" s="109">
        <v>21730</v>
      </c>
      <c r="K102" s="109">
        <v>19819</v>
      </c>
      <c r="L102" s="109">
        <v>8365911.419999999</v>
      </c>
      <c r="M102" s="109">
        <v>12800000</v>
      </c>
      <c r="N102" s="21">
        <f>IFERROR(L102/I102,"")</f>
        <v>1.0170203846960337</v>
      </c>
      <c r="O102" s="21">
        <f>IF(D102="a",K102/25000,IF(D102="b",K102/15000,IF(D102="c",K102/5000)))/H102</f>
        <v>1.3212666666666666</v>
      </c>
    </row>
    <row r="103" spans="2:15" x14ac:dyDescent="0.3">
      <c r="B103" s="104" t="s">
        <v>549</v>
      </c>
      <c r="C103" s="105" t="s">
        <v>16</v>
      </c>
      <c r="D103" s="105" t="s">
        <v>17</v>
      </c>
      <c r="E103" s="106">
        <v>46203</v>
      </c>
      <c r="F103" s="107" t="s">
        <v>553</v>
      </c>
      <c r="G103" s="106"/>
      <c r="H103" s="108">
        <v>1</v>
      </c>
      <c r="I103" s="109">
        <v>0</v>
      </c>
      <c r="J103" s="109">
        <v>0</v>
      </c>
      <c r="K103" s="109">
        <v>0</v>
      </c>
      <c r="L103" s="109">
        <v>0</v>
      </c>
      <c r="M103" s="109">
        <v>10800000</v>
      </c>
      <c r="N103" s="21" t="str">
        <f>IFERROR(L103/I103,"")</f>
        <v/>
      </c>
      <c r="O103" s="21">
        <f>IF(D103="a",K103/25000,IF(D103="b",K103/15000,IF(D103="c",K103/5000)))/H103</f>
        <v>0</v>
      </c>
    </row>
    <row r="104" spans="2:15" x14ac:dyDescent="0.3">
      <c r="B104" s="104" t="s">
        <v>69</v>
      </c>
      <c r="C104" s="105" t="s">
        <v>70</v>
      </c>
      <c r="D104" s="105" t="s">
        <v>3</v>
      </c>
      <c r="E104" s="106">
        <v>45741</v>
      </c>
      <c r="F104" s="107">
        <v>3</v>
      </c>
      <c r="G104" s="106"/>
      <c r="H104" s="108">
        <v>1</v>
      </c>
      <c r="I104" s="109">
        <v>1726373.4199999976</v>
      </c>
      <c r="J104" s="109">
        <v>5540</v>
      </c>
      <c r="K104" s="109">
        <v>5066</v>
      </c>
      <c r="L104" s="109">
        <v>1708128.71</v>
      </c>
      <c r="M104" s="109">
        <v>1850000</v>
      </c>
      <c r="N104" s="21">
        <f>IFERROR(L104/I104,"")</f>
        <v>0.98943177079267264</v>
      </c>
      <c r="O104" s="21">
        <f>IF(D104="a",K104/25000,IF(D104="b",K104/15000,IF(D104="c",K104/5000)))/H104</f>
        <v>1.0132000000000001</v>
      </c>
    </row>
    <row r="105" spans="2:15" x14ac:dyDescent="0.3">
      <c r="B105" s="104" t="s">
        <v>46</v>
      </c>
      <c r="C105" s="105" t="s">
        <v>9</v>
      </c>
      <c r="D105" s="105" t="s">
        <v>3</v>
      </c>
      <c r="E105" s="106">
        <v>45741</v>
      </c>
      <c r="F105" s="107">
        <v>3</v>
      </c>
      <c r="G105" s="106"/>
      <c r="H105" s="108">
        <v>1</v>
      </c>
      <c r="I105" s="109">
        <v>2608094.6399999908</v>
      </c>
      <c r="J105" s="109">
        <v>8298</v>
      </c>
      <c r="K105" s="109">
        <v>7411</v>
      </c>
      <c r="L105" s="109">
        <v>2947145.8299999996</v>
      </c>
      <c r="M105" s="109">
        <v>3000000</v>
      </c>
      <c r="N105" s="21">
        <f>IFERROR(L105/I105,"")</f>
        <v>1.1299995731750019</v>
      </c>
      <c r="O105" s="21">
        <f>IF(D105="a",K105/25000,IF(D105="b",K105/15000,IF(D105="c",K105/5000)))/H105</f>
        <v>1.4822</v>
      </c>
    </row>
    <row r="106" spans="2:15" x14ac:dyDescent="0.3">
      <c r="B106" s="104" t="s">
        <v>157</v>
      </c>
      <c r="C106" s="105" t="s">
        <v>9</v>
      </c>
      <c r="D106" s="105" t="s">
        <v>3</v>
      </c>
      <c r="E106" s="106">
        <v>45765</v>
      </c>
      <c r="F106" s="107">
        <v>4</v>
      </c>
      <c r="G106" s="106"/>
      <c r="H106" s="108">
        <v>1</v>
      </c>
      <c r="I106" s="109">
        <v>2497843.3099999987</v>
      </c>
      <c r="J106" s="109">
        <v>7863</v>
      </c>
      <c r="K106" s="109">
        <v>6872</v>
      </c>
      <c r="L106" s="109">
        <v>2822562.0700000003</v>
      </c>
      <c r="M106" s="109">
        <v>2822562.0700000003</v>
      </c>
      <c r="N106" s="21">
        <f>IFERROR(L106/I106,"")</f>
        <v>1.1299996515794266</v>
      </c>
      <c r="O106" s="21">
        <f>IF(D106="a",K106/25000,IF(D106="b",K106/15000,IF(D106="c",K106/5000)))/H106</f>
        <v>1.3744000000000001</v>
      </c>
    </row>
    <row r="107" spans="2:15" x14ac:dyDescent="0.3">
      <c r="B107" s="104" t="s">
        <v>509</v>
      </c>
      <c r="C107" s="105" t="s">
        <v>9</v>
      </c>
      <c r="D107" s="105" t="s">
        <v>10</v>
      </c>
      <c r="E107" s="106">
        <v>46140</v>
      </c>
      <c r="F107" s="107" t="s">
        <v>508</v>
      </c>
      <c r="G107" s="106"/>
      <c r="H107" s="108">
        <v>1</v>
      </c>
      <c r="I107" s="109">
        <v>1873234.1799999997</v>
      </c>
      <c r="J107" s="109">
        <v>5935</v>
      </c>
      <c r="K107" s="109">
        <v>5927</v>
      </c>
      <c r="L107" s="109">
        <v>1068732.76</v>
      </c>
      <c r="M107" s="109">
        <v>9000000</v>
      </c>
      <c r="N107" s="21">
        <f>IFERROR(L107/I107,"")</f>
        <v>0.57052811197369901</v>
      </c>
      <c r="O107" s="21">
        <f>IF(D107="a",K107/25000,IF(D107="b",K107/15000,IF(D107="c",K107/5000)))/H107</f>
        <v>0.23708000000000001</v>
      </c>
    </row>
    <row r="108" spans="2:15" x14ac:dyDescent="0.3">
      <c r="B108" s="104" t="s">
        <v>186</v>
      </c>
      <c r="C108" s="105" t="s">
        <v>9</v>
      </c>
      <c r="D108" s="105" t="s">
        <v>3</v>
      </c>
      <c r="E108" s="106">
        <v>45775</v>
      </c>
      <c r="F108" s="107">
        <v>4</v>
      </c>
      <c r="G108" s="106"/>
      <c r="H108" s="108">
        <v>1</v>
      </c>
      <c r="I108" s="109">
        <v>1508052.79</v>
      </c>
      <c r="J108" s="109">
        <v>4824</v>
      </c>
      <c r="K108" s="109">
        <v>4368</v>
      </c>
      <c r="L108" s="109">
        <v>1703546.04</v>
      </c>
      <c r="M108" s="109">
        <v>3000000</v>
      </c>
      <c r="N108" s="21">
        <f>IFERROR(L108/I108,"")</f>
        <v>1.1296328956760193</v>
      </c>
      <c r="O108" s="21">
        <f>IF(D108="a",K108/25000,IF(D108="b",K108/15000,IF(D108="c",K108/5000)))/H108</f>
        <v>0.87360000000000004</v>
      </c>
    </row>
    <row r="109" spans="2:15" x14ac:dyDescent="0.3">
      <c r="B109" s="104" t="s">
        <v>238</v>
      </c>
      <c r="C109" s="105" t="s">
        <v>42</v>
      </c>
      <c r="D109" s="105" t="s">
        <v>3</v>
      </c>
      <c r="E109" s="106">
        <v>45797</v>
      </c>
      <c r="F109" s="107">
        <v>5</v>
      </c>
      <c r="G109" s="106"/>
      <c r="H109" s="108">
        <v>1</v>
      </c>
      <c r="I109" s="109">
        <v>2064266.0800000022</v>
      </c>
      <c r="J109" s="109">
        <v>6414</v>
      </c>
      <c r="K109" s="109">
        <v>5693</v>
      </c>
      <c r="L109" s="109">
        <v>2212885.0500000003</v>
      </c>
      <c r="M109" s="109">
        <v>3000000</v>
      </c>
      <c r="N109" s="21">
        <f>IFERROR(L109/I109,"")</f>
        <v>1.0719960335733454</v>
      </c>
      <c r="O109" s="21">
        <f>IF(D109="a",K109/25000,IF(D109="b",K109/15000,IF(D109="c",K109/5000)))/H109</f>
        <v>1.1386000000000001</v>
      </c>
    </row>
    <row r="110" spans="2:15" x14ac:dyDescent="0.3">
      <c r="B110" s="104" t="s">
        <v>22</v>
      </c>
      <c r="C110" s="105" t="s">
        <v>6</v>
      </c>
      <c r="D110" s="105" t="s">
        <v>10</v>
      </c>
      <c r="E110" s="106">
        <v>45707</v>
      </c>
      <c r="F110" s="107">
        <v>2</v>
      </c>
      <c r="G110" s="106">
        <v>46456</v>
      </c>
      <c r="H110" s="108">
        <v>4</v>
      </c>
      <c r="I110" s="109">
        <v>42643071.949999556</v>
      </c>
      <c r="J110" s="109">
        <v>152232</v>
      </c>
      <c r="K110" s="109">
        <v>122116</v>
      </c>
      <c r="L110" s="109">
        <v>45819868.470000006</v>
      </c>
      <c r="M110" s="109">
        <v>55000000</v>
      </c>
      <c r="N110" s="21">
        <f>IFERROR(L110/I110,"")</f>
        <v>1.0744973655679719</v>
      </c>
      <c r="O110" s="21">
        <f>IF(D110="a",K110/25000,IF(D110="b",K110/15000,IF(D110="c",K110/5000)))/H110</f>
        <v>1.22116</v>
      </c>
    </row>
    <row r="111" spans="2:15" x14ac:dyDescent="0.3">
      <c r="B111" s="104" t="s">
        <v>203</v>
      </c>
      <c r="C111" s="105" t="s">
        <v>6</v>
      </c>
      <c r="D111" s="105" t="s">
        <v>3</v>
      </c>
      <c r="E111" s="106">
        <v>45776</v>
      </c>
      <c r="F111" s="107">
        <v>4</v>
      </c>
      <c r="G111" s="106"/>
      <c r="H111" s="108">
        <v>1</v>
      </c>
      <c r="I111" s="109">
        <v>1040480.5199999992</v>
      </c>
      <c r="J111" s="109">
        <v>2683</v>
      </c>
      <c r="K111" s="109">
        <v>2683</v>
      </c>
      <c r="L111" s="109">
        <v>1134130.68</v>
      </c>
      <c r="M111" s="109">
        <v>3000000</v>
      </c>
      <c r="N111" s="21">
        <f>IFERROR(L111/I111,"")</f>
        <v>1.0900066442377996</v>
      </c>
      <c r="O111" s="21">
        <f>IF(D111="a",K111/25000,IF(D111="b",K111/15000,IF(D111="c",K111/5000)))/H111</f>
        <v>0.53659999999999997</v>
      </c>
    </row>
    <row r="112" spans="2:15" x14ac:dyDescent="0.3">
      <c r="B112" s="104" t="s">
        <v>132</v>
      </c>
      <c r="C112" s="105" t="s">
        <v>6</v>
      </c>
      <c r="D112" s="105" t="s">
        <v>3</v>
      </c>
      <c r="E112" s="106">
        <v>45719</v>
      </c>
      <c r="F112" s="107">
        <v>3</v>
      </c>
      <c r="G112" s="106"/>
      <c r="H112" s="108">
        <v>1</v>
      </c>
      <c r="I112" s="109">
        <v>495928.1299999996</v>
      </c>
      <c r="J112" s="109">
        <v>1437</v>
      </c>
      <c r="K112" s="109">
        <v>1437</v>
      </c>
      <c r="L112" s="109">
        <v>532251.35</v>
      </c>
      <c r="M112" s="109">
        <v>3000000</v>
      </c>
      <c r="N112" s="21">
        <f>IFERROR(L112/I112,"")</f>
        <v>1.0732429112258675</v>
      </c>
      <c r="O112" s="21">
        <f>IF(D112="a",K112/25000,IF(D112="b",K112/15000,IF(D112="c",K112/5000)))/H112</f>
        <v>0.28739999999999999</v>
      </c>
    </row>
    <row r="113" spans="2:15" x14ac:dyDescent="0.3">
      <c r="B113" s="104" t="s">
        <v>91</v>
      </c>
      <c r="C113" s="105" t="s">
        <v>2</v>
      </c>
      <c r="D113" s="105" t="s">
        <v>17</v>
      </c>
      <c r="E113" s="106">
        <v>45747</v>
      </c>
      <c r="F113" s="107">
        <v>3</v>
      </c>
      <c r="G113" s="106"/>
      <c r="H113" s="108">
        <v>1</v>
      </c>
      <c r="I113" s="109">
        <v>4600588.2699999986</v>
      </c>
      <c r="J113" s="109">
        <v>14348</v>
      </c>
      <c r="K113" s="109">
        <v>12257</v>
      </c>
      <c r="L113" s="109">
        <v>4790000</v>
      </c>
      <c r="M113" s="109">
        <v>6000000</v>
      </c>
      <c r="N113" s="21">
        <f>IFERROR(L113/I113,"")</f>
        <v>1.0411711978737888</v>
      </c>
      <c r="O113" s="21">
        <f>IF(D113="a",K113/25000,IF(D113="b",K113/15000,IF(D113="c",K113/5000)))/H113</f>
        <v>0.81713333333333338</v>
      </c>
    </row>
    <row r="114" spans="2:15" x14ac:dyDescent="0.3">
      <c r="B114" s="104" t="s">
        <v>54</v>
      </c>
      <c r="C114" s="105" t="s">
        <v>6</v>
      </c>
      <c r="D114" s="105" t="s">
        <v>17</v>
      </c>
      <c r="E114" s="106">
        <v>45719</v>
      </c>
      <c r="F114" s="107">
        <v>3</v>
      </c>
      <c r="G114" s="106"/>
      <c r="H114" s="108">
        <v>1</v>
      </c>
      <c r="I114" s="109">
        <v>5228567.4899999499</v>
      </c>
      <c r="J114" s="109">
        <v>17595</v>
      </c>
      <c r="K114" s="109">
        <v>15196</v>
      </c>
      <c r="L114" s="109">
        <v>5908279.54</v>
      </c>
      <c r="M114" s="109">
        <v>5908279.54</v>
      </c>
      <c r="N114" s="21">
        <f>IFERROR(L114/I114,"")</f>
        <v>1.1299996703303636</v>
      </c>
      <c r="O114" s="21">
        <f>IF(D114="a",K114/25000,IF(D114="b",K114/15000,IF(D114="c",K114/5000)))/H114</f>
        <v>1.0130666666666666</v>
      </c>
    </row>
    <row r="115" spans="2:15" x14ac:dyDescent="0.3">
      <c r="B115" s="104" t="s">
        <v>400</v>
      </c>
      <c r="C115" s="105" t="s">
        <v>6</v>
      </c>
      <c r="D115" s="105" t="s">
        <v>10</v>
      </c>
      <c r="E115" s="106">
        <v>45954</v>
      </c>
      <c r="F115" s="107">
        <v>10</v>
      </c>
      <c r="G115" s="106"/>
      <c r="H115" s="108">
        <v>1</v>
      </c>
      <c r="I115" s="109">
        <v>3266848.0799999987</v>
      </c>
      <c r="J115" s="109">
        <v>12162</v>
      </c>
      <c r="K115" s="109">
        <v>10209</v>
      </c>
      <c r="L115" s="109">
        <v>3007388.7300000004</v>
      </c>
      <c r="M115" s="109">
        <v>9000000</v>
      </c>
      <c r="N115" s="21">
        <f>IFERROR(L115/I115,"")</f>
        <v>0.92057807903941513</v>
      </c>
      <c r="O115" s="21">
        <f>IF(D115="a",K115/25000,IF(D115="b",K115/15000,IF(D115="c",K115/5000)))/H115</f>
        <v>0.40836</v>
      </c>
    </row>
    <row r="116" spans="2:15" x14ac:dyDescent="0.3">
      <c r="B116" s="104" t="s">
        <v>44</v>
      </c>
      <c r="C116" s="105" t="s">
        <v>42</v>
      </c>
      <c r="D116" s="105" t="s">
        <v>3</v>
      </c>
      <c r="E116" s="106">
        <v>45728</v>
      </c>
      <c r="F116" s="107">
        <v>3</v>
      </c>
      <c r="G116" s="106"/>
      <c r="H116" s="108">
        <v>1</v>
      </c>
      <c r="I116" s="109">
        <v>2654867.6200000127</v>
      </c>
      <c r="J116" s="109">
        <v>8719</v>
      </c>
      <c r="K116" s="109">
        <v>7611</v>
      </c>
      <c r="L116" s="109">
        <v>3000000</v>
      </c>
      <c r="M116" s="109">
        <v>3000000</v>
      </c>
      <c r="N116" s="21">
        <f>IFERROR(L116/I116,"")</f>
        <v>1.1299998453406825</v>
      </c>
      <c r="O116" s="21">
        <f>IF(D116="a",K116/25000,IF(D116="b",K116/15000,IF(D116="c",K116/5000)))/H116</f>
        <v>1.5222</v>
      </c>
    </row>
    <row r="117" spans="2:15" x14ac:dyDescent="0.3">
      <c r="B117" s="104" t="s">
        <v>258</v>
      </c>
      <c r="C117" s="105" t="s">
        <v>42</v>
      </c>
      <c r="D117" s="105" t="s">
        <v>17</v>
      </c>
      <c r="E117" s="106">
        <v>45804</v>
      </c>
      <c r="F117" s="107">
        <v>5</v>
      </c>
      <c r="G117" s="106"/>
      <c r="H117" s="108">
        <v>1</v>
      </c>
      <c r="I117" s="109">
        <v>5688997.0099999998</v>
      </c>
      <c r="J117" s="109">
        <v>18588</v>
      </c>
      <c r="K117" s="109">
        <v>15743</v>
      </c>
      <c r="L117" s="109">
        <v>6428565.6699999999</v>
      </c>
      <c r="M117" s="109">
        <v>6428565.6699999999</v>
      </c>
      <c r="N117" s="21">
        <f>IFERROR(L117/I117,"")</f>
        <v>1.129999832782475</v>
      </c>
      <c r="O117" s="21">
        <f>IF(D117="a",K117/25000,IF(D117="b",K117/15000,IF(D117="c",K117/5000)))/H117</f>
        <v>1.0495333333333334</v>
      </c>
    </row>
    <row r="118" spans="2:15" x14ac:dyDescent="0.3">
      <c r="B118" s="104" t="s">
        <v>412</v>
      </c>
      <c r="C118" s="105" t="s">
        <v>42</v>
      </c>
      <c r="D118" s="105" t="s">
        <v>10</v>
      </c>
      <c r="E118" s="106">
        <v>46086</v>
      </c>
      <c r="F118" s="107" t="s">
        <v>413</v>
      </c>
      <c r="G118" s="106"/>
      <c r="H118" s="108">
        <v>1</v>
      </c>
      <c r="I118" s="109">
        <v>5172991.6400000062</v>
      </c>
      <c r="J118" s="109">
        <v>17445</v>
      </c>
      <c r="K118" s="109">
        <v>15855</v>
      </c>
      <c r="L118" s="109">
        <v>4587609.01</v>
      </c>
      <c r="M118" s="109">
        <v>9000000</v>
      </c>
      <c r="N118" s="21">
        <f>IFERROR(L118/I118,"")</f>
        <v>0.88683866691885749</v>
      </c>
      <c r="O118" s="21">
        <f>IF(D118="a",K118/25000,IF(D118="b",K118/15000,IF(D118="c",K118/5000)))/H118</f>
        <v>0.63419999999999999</v>
      </c>
    </row>
    <row r="119" spans="2:15" x14ac:dyDescent="0.3">
      <c r="B119" s="104" t="s">
        <v>75</v>
      </c>
      <c r="C119" s="105" t="s">
        <v>42</v>
      </c>
      <c r="D119" s="105" t="s">
        <v>3</v>
      </c>
      <c r="E119" s="106">
        <v>45741</v>
      </c>
      <c r="F119" s="107">
        <v>3</v>
      </c>
      <c r="G119" s="106"/>
      <c r="H119" s="108">
        <v>1</v>
      </c>
      <c r="I119" s="109">
        <v>1740535.2500000009</v>
      </c>
      <c r="J119" s="109">
        <v>4576</v>
      </c>
      <c r="K119" s="109">
        <v>4566</v>
      </c>
      <c r="L119" s="109">
        <v>1880871.81</v>
      </c>
      <c r="M119" s="109">
        <v>3050000</v>
      </c>
      <c r="N119" s="21">
        <f>IFERROR(L119/I119,"")</f>
        <v>1.0806283929038489</v>
      </c>
      <c r="O119" s="21">
        <f>IF(D119="a",K119/25000,IF(D119="b",K119/15000,IF(D119="c",K119/5000)))/H119</f>
        <v>0.91320000000000001</v>
      </c>
    </row>
    <row r="120" spans="2:15" x14ac:dyDescent="0.3">
      <c r="B120" s="104" t="s">
        <v>253</v>
      </c>
      <c r="C120" s="105" t="s">
        <v>42</v>
      </c>
      <c r="D120" s="105" t="s">
        <v>17</v>
      </c>
      <c r="E120" s="106">
        <v>45796</v>
      </c>
      <c r="F120" s="107">
        <v>5</v>
      </c>
      <c r="G120" s="106"/>
      <c r="H120" s="108">
        <v>1</v>
      </c>
      <c r="I120" s="109">
        <v>5630322.7500000019</v>
      </c>
      <c r="J120" s="109">
        <v>12942</v>
      </c>
      <c r="K120" s="109">
        <v>12922</v>
      </c>
      <c r="L120" s="109">
        <v>5647030.9199999999</v>
      </c>
      <c r="M120" s="109">
        <v>7048500</v>
      </c>
      <c r="N120" s="21">
        <f>IFERROR(L120/I120,"")</f>
        <v>1.002967533255531</v>
      </c>
      <c r="O120" s="21">
        <f>IF(D120="a",K120/25000,IF(D120="b",K120/15000,IF(D120="c",K120/5000)))/H120</f>
        <v>0.86146666666666671</v>
      </c>
    </row>
    <row r="121" spans="2:15" x14ac:dyDescent="0.3">
      <c r="B121" s="104" t="s">
        <v>350</v>
      </c>
      <c r="C121" s="105" t="s">
        <v>42</v>
      </c>
      <c r="D121" s="105" t="s">
        <v>3</v>
      </c>
      <c r="E121" s="106">
        <v>45868</v>
      </c>
      <c r="F121" s="107">
        <v>7</v>
      </c>
      <c r="G121" s="106"/>
      <c r="H121" s="108">
        <v>1</v>
      </c>
      <c r="I121" s="109">
        <v>2123200.3899999992</v>
      </c>
      <c r="J121" s="109">
        <v>6671</v>
      </c>
      <c r="K121" s="109">
        <v>6199</v>
      </c>
      <c r="L121" s="109">
        <v>1905193.6200000003</v>
      </c>
      <c r="M121" s="109">
        <v>3000000</v>
      </c>
      <c r="N121" s="21">
        <f>IFERROR(L121/I121,"")</f>
        <v>0.8973216230428448</v>
      </c>
      <c r="O121" s="21">
        <f>IF(D121="a",K121/25000,IF(D121="b",K121/15000,IF(D121="c",K121/5000)))/H121</f>
        <v>1.2398</v>
      </c>
    </row>
    <row r="122" spans="2:15" x14ac:dyDescent="0.3">
      <c r="B122" s="104" t="s">
        <v>109</v>
      </c>
      <c r="C122" s="105" t="s">
        <v>2</v>
      </c>
      <c r="D122" s="105" t="s">
        <v>10</v>
      </c>
      <c r="E122" s="106">
        <v>45729</v>
      </c>
      <c r="F122" s="107">
        <v>3</v>
      </c>
      <c r="G122" s="106">
        <v>46326</v>
      </c>
      <c r="H122" s="108">
        <v>2</v>
      </c>
      <c r="I122" s="109">
        <v>12846052.020000037</v>
      </c>
      <c r="J122" s="109">
        <v>41398</v>
      </c>
      <c r="K122" s="109">
        <v>35493</v>
      </c>
      <c r="L122" s="109">
        <v>14550000</v>
      </c>
      <c r="M122" s="109">
        <v>20000000</v>
      </c>
      <c r="N122" s="21">
        <f>IFERROR(L122/I122,"")</f>
        <v>1.132643708537618</v>
      </c>
      <c r="O122" s="21">
        <f>IF(D122="a",K122/25000,IF(D122="b",K122/15000,IF(D122="c",K122/5000)))/H122</f>
        <v>0.70986000000000005</v>
      </c>
    </row>
    <row r="123" spans="2:15" x14ac:dyDescent="0.3">
      <c r="B123" s="104" t="s">
        <v>41</v>
      </c>
      <c r="C123" s="105" t="s">
        <v>42</v>
      </c>
      <c r="D123" s="105" t="s">
        <v>3</v>
      </c>
      <c r="E123" s="106">
        <v>45743</v>
      </c>
      <c r="F123" s="107">
        <v>3</v>
      </c>
      <c r="G123" s="106"/>
      <c r="H123" s="108">
        <v>1</v>
      </c>
      <c r="I123" s="109">
        <v>2655021.6899999985</v>
      </c>
      <c r="J123" s="109">
        <v>8503</v>
      </c>
      <c r="K123" s="109">
        <v>7661</v>
      </c>
      <c r="L123" s="109">
        <v>3000000</v>
      </c>
      <c r="M123" s="109">
        <v>3000000</v>
      </c>
      <c r="N123" s="21">
        <f>IFERROR(L123/I123,"")</f>
        <v>1.1299342718364014</v>
      </c>
      <c r="O123" s="21">
        <f>IF(D123="a",K123/25000,IF(D123="b",K123/15000,IF(D123="c",K123/5000)))/H123</f>
        <v>1.5322</v>
      </c>
    </row>
    <row r="124" spans="2:15" x14ac:dyDescent="0.3">
      <c r="B124" s="104" t="s">
        <v>380</v>
      </c>
      <c r="C124" s="105" t="s">
        <v>42</v>
      </c>
      <c r="D124" s="105" t="s">
        <v>17</v>
      </c>
      <c r="E124" s="106">
        <v>45889</v>
      </c>
      <c r="F124" s="107">
        <v>8</v>
      </c>
      <c r="G124" s="106"/>
      <c r="H124" s="108">
        <v>1</v>
      </c>
      <c r="I124" s="109">
        <v>4458382.2800000105</v>
      </c>
      <c r="J124" s="109">
        <v>13489</v>
      </c>
      <c r="K124" s="109">
        <v>12269</v>
      </c>
      <c r="L124" s="109">
        <v>4466459.8499999996</v>
      </c>
      <c r="M124" s="109">
        <v>6000000</v>
      </c>
      <c r="N124" s="21">
        <f>IFERROR(L124/I124,"")</f>
        <v>1.001811771510986</v>
      </c>
      <c r="O124" s="21">
        <f>IF(D124="a",K124/25000,IF(D124="b",K124/15000,IF(D124="c",K124/5000)))/H124</f>
        <v>0.81793333333333329</v>
      </c>
    </row>
    <row r="125" spans="2:15" x14ac:dyDescent="0.3">
      <c r="B125" s="104" t="s">
        <v>24</v>
      </c>
      <c r="C125" s="105" t="s">
        <v>16</v>
      </c>
      <c r="D125" s="105" t="s">
        <v>3</v>
      </c>
      <c r="E125" s="106">
        <v>45709</v>
      </c>
      <c r="F125" s="107">
        <v>2</v>
      </c>
      <c r="G125" s="106">
        <v>46309</v>
      </c>
      <c r="H125" s="108">
        <v>2</v>
      </c>
      <c r="I125" s="109">
        <v>6586824.9099999908</v>
      </c>
      <c r="J125" s="109">
        <v>14023</v>
      </c>
      <c r="K125" s="109">
        <v>13991</v>
      </c>
      <c r="L125" s="109">
        <v>6414357.3499999996</v>
      </c>
      <c r="M125" s="109">
        <v>10800000</v>
      </c>
      <c r="N125" s="21">
        <f>IFERROR(L125/I125,"")</f>
        <v>0.97381628290465805</v>
      </c>
      <c r="O125" s="21">
        <f>IF(D125="a",K125/25000,IF(D125="b",K125/15000,IF(D125="c",K125/5000)))/H125</f>
        <v>1.3991</v>
      </c>
    </row>
    <row r="126" spans="2:15" x14ac:dyDescent="0.3">
      <c r="B126" s="104" t="s">
        <v>155</v>
      </c>
      <c r="C126" s="105" t="s">
        <v>16</v>
      </c>
      <c r="D126" s="105" t="s">
        <v>3</v>
      </c>
      <c r="E126" s="106">
        <v>45777</v>
      </c>
      <c r="F126" s="107">
        <v>4</v>
      </c>
      <c r="G126" s="106"/>
      <c r="H126" s="108">
        <v>1</v>
      </c>
      <c r="I126" s="109">
        <v>2716865.83</v>
      </c>
      <c r="J126" s="109">
        <v>8977</v>
      </c>
      <c r="K126" s="109">
        <v>8217</v>
      </c>
      <c r="L126" s="109">
        <v>2941835.33</v>
      </c>
      <c r="M126" s="109">
        <v>6000000</v>
      </c>
      <c r="N126" s="21">
        <f>IFERROR(L126/I126,"")</f>
        <v>1.0828047883395111</v>
      </c>
      <c r="O126" s="21">
        <f>IF(D126="a",K126/25000,IF(D126="b",K126/15000,IF(D126="c",K126/5000)))/H126</f>
        <v>1.6434</v>
      </c>
    </row>
    <row r="127" spans="2:15" x14ac:dyDescent="0.3">
      <c r="B127" s="104" t="s">
        <v>99</v>
      </c>
      <c r="C127" s="105" t="s">
        <v>13</v>
      </c>
      <c r="D127" s="105" t="s">
        <v>3</v>
      </c>
      <c r="E127" s="106">
        <v>45730</v>
      </c>
      <c r="F127" s="107">
        <v>3</v>
      </c>
      <c r="G127" s="106">
        <v>46464</v>
      </c>
      <c r="H127" s="108">
        <v>2</v>
      </c>
      <c r="I127" s="109">
        <v>3350630.5699999975</v>
      </c>
      <c r="J127" s="109">
        <v>8697</v>
      </c>
      <c r="K127" s="109">
        <v>8697</v>
      </c>
      <c r="L127" s="109">
        <v>3401094.83</v>
      </c>
      <c r="M127" s="109">
        <v>6340000</v>
      </c>
      <c r="N127" s="21">
        <f>IFERROR(L127/I127,"")</f>
        <v>1.0150611232559734</v>
      </c>
      <c r="O127" s="21">
        <f>IF(D127="a",K127/25000,IF(D127="b",K127/15000,IF(D127="c",K127/5000)))/H127</f>
        <v>0.86970000000000003</v>
      </c>
    </row>
    <row r="128" spans="2:15" x14ac:dyDescent="0.3">
      <c r="B128" s="104" t="s">
        <v>115</v>
      </c>
      <c r="C128" s="105" t="s">
        <v>13</v>
      </c>
      <c r="D128" s="105" t="s">
        <v>17</v>
      </c>
      <c r="E128" s="106">
        <v>45727</v>
      </c>
      <c r="F128" s="107">
        <v>3</v>
      </c>
      <c r="G128" s="106">
        <v>46459</v>
      </c>
      <c r="H128" s="108">
        <v>2</v>
      </c>
      <c r="I128" s="109">
        <v>6465270.8000000063</v>
      </c>
      <c r="J128" s="109">
        <v>21050</v>
      </c>
      <c r="K128" s="109">
        <v>18800</v>
      </c>
      <c r="L128" s="109">
        <v>7305248.5599999987</v>
      </c>
      <c r="M128" s="109">
        <v>8400000</v>
      </c>
      <c r="N128" s="21">
        <f>IFERROR(L128/I128,"")</f>
        <v>1.129921512336342</v>
      </c>
      <c r="O128" s="21">
        <f>IF(D128="a",K128/25000,IF(D128="b",K128/15000,IF(D128="c",K128/5000)))/H128</f>
        <v>0.62666666666666671</v>
      </c>
    </row>
    <row r="129" spans="2:15" x14ac:dyDescent="0.3">
      <c r="B129" s="104" t="s">
        <v>510</v>
      </c>
      <c r="C129" s="105" t="s">
        <v>13</v>
      </c>
      <c r="D129" s="105" t="s">
        <v>3</v>
      </c>
      <c r="E129" s="106">
        <v>46140</v>
      </c>
      <c r="F129" s="107" t="s">
        <v>508</v>
      </c>
      <c r="G129" s="106"/>
      <c r="H129" s="108">
        <v>1</v>
      </c>
      <c r="I129" s="109">
        <v>204122.72</v>
      </c>
      <c r="J129" s="109">
        <v>634</v>
      </c>
      <c r="K129" s="109">
        <v>634</v>
      </c>
      <c r="L129" s="109">
        <v>82513.62</v>
      </c>
      <c r="M129" s="109">
        <v>5300000</v>
      </c>
      <c r="N129" s="21">
        <f>IFERROR(L129/I129,"")</f>
        <v>0.4042353541046288</v>
      </c>
      <c r="O129" s="21">
        <f>IF(D129="a",K129/25000,IF(D129="b",K129/15000,IF(D129="c",K129/5000)))/H129</f>
        <v>0.1268</v>
      </c>
    </row>
    <row r="130" spans="2:15" x14ac:dyDescent="0.3">
      <c r="B130" s="104" t="s">
        <v>60</v>
      </c>
      <c r="C130" s="105" t="s">
        <v>13</v>
      </c>
      <c r="D130" s="105" t="s">
        <v>3</v>
      </c>
      <c r="E130" s="106">
        <v>45741</v>
      </c>
      <c r="F130" s="107">
        <v>3</v>
      </c>
      <c r="G130" s="106"/>
      <c r="H130" s="108">
        <v>1</v>
      </c>
      <c r="I130" s="109">
        <v>1708789.52</v>
      </c>
      <c r="J130" s="109">
        <v>5550</v>
      </c>
      <c r="K130" s="109">
        <v>5000</v>
      </c>
      <c r="L130" s="109">
        <v>1930931.67</v>
      </c>
      <c r="M130" s="109">
        <v>1930931.67</v>
      </c>
      <c r="N130" s="21">
        <f>IFERROR(L130/I130,"")</f>
        <v>1.1299997146518079</v>
      </c>
      <c r="O130" s="21">
        <f>IF(D130="a",K130/25000,IF(D130="b",K130/15000,IF(D130="c",K130/5000)))/H130</f>
        <v>1</v>
      </c>
    </row>
    <row r="131" spans="2:15" x14ac:dyDescent="0.3">
      <c r="B131" s="104" t="s">
        <v>348</v>
      </c>
      <c r="C131" s="105" t="s">
        <v>13</v>
      </c>
      <c r="D131" s="105" t="s">
        <v>3</v>
      </c>
      <c r="E131" s="106">
        <v>45847</v>
      </c>
      <c r="F131" s="107">
        <v>7</v>
      </c>
      <c r="G131" s="106">
        <v>46423</v>
      </c>
      <c r="H131" s="108">
        <v>2</v>
      </c>
      <c r="I131" s="109">
        <v>3910026.4999999986</v>
      </c>
      <c r="J131" s="109">
        <v>12551</v>
      </c>
      <c r="K131" s="109">
        <v>11721</v>
      </c>
      <c r="L131" s="109">
        <v>4089717.29</v>
      </c>
      <c r="M131" s="109">
        <v>5200000</v>
      </c>
      <c r="N131" s="21">
        <f>IFERROR(L131/I131,"")</f>
        <v>1.045956412315876</v>
      </c>
      <c r="O131" s="21">
        <f>IF(D131="a",K131/25000,IF(D131="b",K131/15000,IF(D131="c",K131/5000)))/H131</f>
        <v>1.1720999999999999</v>
      </c>
    </row>
    <row r="132" spans="2:15" x14ac:dyDescent="0.3">
      <c r="B132" s="104" t="s">
        <v>199</v>
      </c>
      <c r="C132" s="105" t="s">
        <v>13</v>
      </c>
      <c r="D132" s="105" t="s">
        <v>3</v>
      </c>
      <c r="E132" s="106">
        <v>45763</v>
      </c>
      <c r="F132" s="107">
        <v>4</v>
      </c>
      <c r="G132" s="106"/>
      <c r="H132" s="108">
        <v>1</v>
      </c>
      <c r="I132" s="109">
        <v>1292183.4999999986</v>
      </c>
      <c r="J132" s="109">
        <v>3037</v>
      </c>
      <c r="K132" s="109">
        <v>2785</v>
      </c>
      <c r="L132" s="109">
        <v>1355436.92</v>
      </c>
      <c r="M132" s="109">
        <v>2815813.52</v>
      </c>
      <c r="N132" s="21">
        <f>IFERROR(L132/I132,"")</f>
        <v>1.0489508030399719</v>
      </c>
      <c r="O132" s="21">
        <f>IF(D132="a",K132/25000,IF(D132="b",K132/15000,IF(D132="c",K132/5000)))/H132</f>
        <v>0.55700000000000005</v>
      </c>
    </row>
    <row r="133" spans="2:15" x14ac:dyDescent="0.3">
      <c r="B133" s="104" t="s">
        <v>415</v>
      </c>
      <c r="C133" s="105" t="s">
        <v>386</v>
      </c>
      <c r="D133" s="105" t="s">
        <v>3</v>
      </c>
      <c r="E133" s="106">
        <v>46100</v>
      </c>
      <c r="F133" s="107" t="s">
        <v>413</v>
      </c>
      <c r="G133" s="106"/>
      <c r="H133" s="108">
        <v>1</v>
      </c>
      <c r="I133" s="109">
        <v>132959.84000000003</v>
      </c>
      <c r="J133" s="109">
        <v>364</v>
      </c>
      <c r="K133" s="109">
        <v>364</v>
      </c>
      <c r="L133" s="109">
        <v>150657.4</v>
      </c>
      <c r="M133" s="109">
        <v>3000000</v>
      </c>
      <c r="N133" s="21">
        <f>IFERROR(L133/I133,"")</f>
        <v>1.1331045524723853</v>
      </c>
      <c r="O133" s="21">
        <f>IF(D133="a",K133/25000,IF(D133="b",K133/15000,IF(D133="c",K133/5000)))/H133</f>
        <v>7.2800000000000004E-2</v>
      </c>
    </row>
    <row r="134" spans="2:15" x14ac:dyDescent="0.3">
      <c r="B134" s="104" t="s">
        <v>335</v>
      </c>
      <c r="C134" s="105" t="s">
        <v>9</v>
      </c>
      <c r="D134" s="105" t="s">
        <v>3</v>
      </c>
      <c r="E134" s="106">
        <v>45828</v>
      </c>
      <c r="F134" s="107">
        <v>6</v>
      </c>
      <c r="G134" s="106"/>
      <c r="H134" s="108">
        <v>1</v>
      </c>
      <c r="I134" s="109">
        <v>183518.04000000004</v>
      </c>
      <c r="J134" s="109">
        <v>514</v>
      </c>
      <c r="K134" s="109">
        <v>493</v>
      </c>
      <c r="L134" s="109">
        <v>207288.03999999998</v>
      </c>
      <c r="M134" s="109">
        <v>3000000</v>
      </c>
      <c r="N134" s="21">
        <f>IFERROR(L134/I134,"")</f>
        <v>1.1295240511505023</v>
      </c>
      <c r="O134" s="21">
        <f>IF(D134="a",K134/25000,IF(D134="b",K134/15000,IF(D134="c",K134/5000)))/H134</f>
        <v>9.8599999999999993E-2</v>
      </c>
    </row>
    <row r="135" spans="2:15" x14ac:dyDescent="0.3">
      <c r="B135" s="104" t="s">
        <v>184</v>
      </c>
      <c r="C135" s="105" t="s">
        <v>6</v>
      </c>
      <c r="D135" s="105" t="s">
        <v>10</v>
      </c>
      <c r="E135" s="106">
        <v>45775</v>
      </c>
      <c r="F135" s="107">
        <v>4</v>
      </c>
      <c r="G135" s="106">
        <v>46498</v>
      </c>
      <c r="H135" s="108">
        <v>3</v>
      </c>
      <c r="I135" s="109">
        <v>22256811.830000009</v>
      </c>
      <c r="J135" s="109">
        <v>78712</v>
      </c>
      <c r="K135" s="109">
        <v>64908</v>
      </c>
      <c r="L135" s="109">
        <v>24085077.690000001</v>
      </c>
      <c r="M135" s="109">
        <v>27500000</v>
      </c>
      <c r="N135" s="21">
        <f>IFERROR(L135/I135,"")</f>
        <v>1.0821441037451585</v>
      </c>
      <c r="O135" s="21">
        <f>IF(D135="a",K135/25000,IF(D135="b",K135/15000,IF(D135="c",K135/5000)))/H135</f>
        <v>0.86543999999999999</v>
      </c>
    </row>
    <row r="136" spans="2:15" x14ac:dyDescent="0.3">
      <c r="B136" s="104" t="s">
        <v>390</v>
      </c>
      <c r="C136" s="105" t="s">
        <v>36</v>
      </c>
      <c r="D136" s="105" t="s">
        <v>17</v>
      </c>
      <c r="E136" s="106">
        <v>45923</v>
      </c>
      <c r="F136" s="107">
        <v>9</v>
      </c>
      <c r="G136" s="106"/>
      <c r="H136" s="108">
        <v>1</v>
      </c>
      <c r="I136" s="109">
        <v>2401273.7300000004</v>
      </c>
      <c r="J136" s="109">
        <v>6928</v>
      </c>
      <c r="K136" s="109">
        <v>6928</v>
      </c>
      <c r="L136" s="109">
        <v>2198088.3600000003</v>
      </c>
      <c r="M136" s="109">
        <v>6000000</v>
      </c>
      <c r="N136" s="21">
        <f>IFERROR(L136/I136,"")</f>
        <v>0.91538433646213246</v>
      </c>
      <c r="O136" s="21">
        <f>IF(D136="a",K136/25000,IF(D136="b",K136/15000,IF(D136="c",K136/5000)))/H136</f>
        <v>0.46186666666666665</v>
      </c>
    </row>
    <row r="137" spans="2:15" x14ac:dyDescent="0.3">
      <c r="B137" s="104" t="s">
        <v>201</v>
      </c>
      <c r="C137" s="105" t="s">
        <v>13</v>
      </c>
      <c r="D137" s="105" t="s">
        <v>3</v>
      </c>
      <c r="E137" s="106">
        <v>45763</v>
      </c>
      <c r="F137" s="107">
        <v>4</v>
      </c>
      <c r="G137" s="106"/>
      <c r="H137" s="108">
        <v>1</v>
      </c>
      <c r="I137" s="109">
        <v>1019816.7100000007</v>
      </c>
      <c r="J137" s="109">
        <v>2959</v>
      </c>
      <c r="K137" s="109">
        <v>2714</v>
      </c>
      <c r="L137" s="109">
        <v>1099338.1599999999</v>
      </c>
      <c r="M137" s="109">
        <v>3000000</v>
      </c>
      <c r="N137" s="21">
        <f>IFERROR(L137/I137,"")</f>
        <v>1.0779762179029202</v>
      </c>
      <c r="O137" s="21">
        <f>IF(D137="a",K137/25000,IF(D137="b",K137/15000,IF(D137="c",K137/5000)))/H137</f>
        <v>0.54279999999999995</v>
      </c>
    </row>
    <row r="138" spans="2:15" x14ac:dyDescent="0.3">
      <c r="B138" s="104" t="s">
        <v>399</v>
      </c>
      <c r="C138" s="105" t="s">
        <v>13</v>
      </c>
      <c r="D138" s="105" t="s">
        <v>3</v>
      </c>
      <c r="E138" s="106">
        <v>45952</v>
      </c>
      <c r="F138" s="107">
        <v>10</v>
      </c>
      <c r="G138" s="106"/>
      <c r="H138" s="108">
        <v>1</v>
      </c>
      <c r="I138" s="109">
        <v>501147.30999999994</v>
      </c>
      <c r="J138" s="109">
        <v>1588</v>
      </c>
      <c r="K138" s="109">
        <v>1587</v>
      </c>
      <c r="L138" s="109">
        <v>504771.06000000006</v>
      </c>
      <c r="M138" s="109">
        <v>3000000</v>
      </c>
      <c r="N138" s="21">
        <f>IFERROR(L138/I138,"")</f>
        <v>1.0072309078143113</v>
      </c>
      <c r="O138" s="21">
        <f>IF(D138="a",K138/25000,IF(D138="b",K138/15000,IF(D138="c",K138/5000)))/H138</f>
        <v>0.31740000000000002</v>
      </c>
    </row>
    <row r="139" spans="2:15" x14ac:dyDescent="0.3">
      <c r="B139" s="104" t="s">
        <v>256</v>
      </c>
      <c r="C139" s="105" t="s">
        <v>2</v>
      </c>
      <c r="D139" s="105" t="s">
        <v>3</v>
      </c>
      <c r="E139" s="106">
        <v>45791</v>
      </c>
      <c r="F139" s="107">
        <v>5</v>
      </c>
      <c r="G139" s="106"/>
      <c r="H139" s="108">
        <v>1</v>
      </c>
      <c r="I139" s="109">
        <v>1561874.1300000001</v>
      </c>
      <c r="J139" s="109">
        <v>4304</v>
      </c>
      <c r="K139" s="109">
        <v>4304</v>
      </c>
      <c r="L139" s="109">
        <v>1384950.9700000002</v>
      </c>
      <c r="M139" s="109">
        <v>3000000</v>
      </c>
      <c r="N139" s="21">
        <f>IFERROR(L139/I139,"")</f>
        <v>0.88672380404943396</v>
      </c>
      <c r="O139" s="21">
        <f>IF(D139="a",K139/25000,IF(D139="b",K139/15000,IF(D139="c",K139/5000)))/H139</f>
        <v>0.86080000000000001</v>
      </c>
    </row>
    <row r="140" spans="2:15" x14ac:dyDescent="0.3">
      <c r="B140" s="104" t="s">
        <v>137</v>
      </c>
      <c r="C140" s="105" t="s">
        <v>9</v>
      </c>
      <c r="D140" s="105" t="s">
        <v>3</v>
      </c>
      <c r="E140" s="106">
        <v>45747</v>
      </c>
      <c r="F140" s="107">
        <v>3</v>
      </c>
      <c r="G140" s="106"/>
      <c r="H140" s="108">
        <v>1</v>
      </c>
      <c r="I140" s="109">
        <v>134999.99999999997</v>
      </c>
      <c r="J140" s="109">
        <v>408</v>
      </c>
      <c r="K140" s="109">
        <v>407</v>
      </c>
      <c r="L140" s="109">
        <v>123340.65000000001</v>
      </c>
      <c r="M140" s="109">
        <v>3000000</v>
      </c>
      <c r="N140" s="21">
        <f>IFERROR(L140/I140,"")</f>
        <v>0.91363444444444475</v>
      </c>
      <c r="O140" s="21">
        <f>IF(D140="a",K140/25000,IF(D140="b",K140/15000,IF(D140="c",K140/5000)))/H140</f>
        <v>8.14E-2</v>
      </c>
    </row>
    <row r="141" spans="2:15" x14ac:dyDescent="0.3">
      <c r="B141" s="104" t="s">
        <v>190</v>
      </c>
      <c r="C141" s="105" t="s">
        <v>6</v>
      </c>
      <c r="D141" s="105" t="s">
        <v>3</v>
      </c>
      <c r="E141" s="106">
        <v>45771</v>
      </c>
      <c r="F141" s="107">
        <v>4</v>
      </c>
      <c r="G141" s="106"/>
      <c r="H141" s="108">
        <v>1</v>
      </c>
      <c r="I141" s="109">
        <v>1810093.84</v>
      </c>
      <c r="J141" s="109">
        <v>5459</v>
      </c>
      <c r="K141" s="109">
        <v>5459</v>
      </c>
      <c r="L141" s="109">
        <v>1799271.8100000003</v>
      </c>
      <c r="M141" s="109">
        <v>3000000</v>
      </c>
      <c r="N141" s="21">
        <f>IFERROR(L141/I141,"")</f>
        <v>0.99402128786869981</v>
      </c>
      <c r="O141" s="21">
        <f>IF(D141="a",K141/25000,IF(D141="b",K141/15000,IF(D141="c",K141/5000)))/H141</f>
        <v>1.0918000000000001</v>
      </c>
    </row>
    <row r="142" spans="2:15" x14ac:dyDescent="0.3">
      <c r="B142" s="104" t="s">
        <v>29</v>
      </c>
      <c r="C142" s="105" t="s">
        <v>13</v>
      </c>
      <c r="D142" s="105" t="s">
        <v>3</v>
      </c>
      <c r="E142" s="106">
        <v>45708</v>
      </c>
      <c r="F142" s="107">
        <v>2</v>
      </c>
      <c r="G142" s="106">
        <v>46446</v>
      </c>
      <c r="H142" s="108">
        <v>2</v>
      </c>
      <c r="I142" s="109">
        <v>3035232.1100000222</v>
      </c>
      <c r="J142" s="109">
        <v>8350</v>
      </c>
      <c r="K142" s="109">
        <v>7959</v>
      </c>
      <c r="L142" s="109">
        <v>3352641.2800000003</v>
      </c>
      <c r="M142" s="109">
        <v>4000000</v>
      </c>
      <c r="N142" s="21">
        <f>IFERROR(L142/I142,"")</f>
        <v>1.104574924914054</v>
      </c>
      <c r="O142" s="21">
        <f>IF(D142="a",K142/25000,IF(D142="b",K142/15000,IF(D142="c",K142/5000)))/H142</f>
        <v>0.79590000000000005</v>
      </c>
    </row>
    <row r="143" spans="2:15" x14ac:dyDescent="0.3">
      <c r="B143" s="104" t="s">
        <v>387</v>
      </c>
      <c r="C143" s="105" t="s">
        <v>36</v>
      </c>
      <c r="D143" s="105" t="s">
        <v>3</v>
      </c>
      <c r="E143" s="106">
        <v>45919</v>
      </c>
      <c r="F143" s="107">
        <v>9</v>
      </c>
      <c r="G143" s="106"/>
      <c r="H143" s="108">
        <v>1</v>
      </c>
      <c r="I143" s="109">
        <v>1208967.4299999997</v>
      </c>
      <c r="J143" s="109">
        <v>3422</v>
      </c>
      <c r="K143" s="109">
        <v>3422</v>
      </c>
      <c r="L143" s="109">
        <v>1179885.8</v>
      </c>
      <c r="M143" s="109">
        <v>3000000</v>
      </c>
      <c r="N143" s="21">
        <f>IFERROR(L143/I143,"")</f>
        <v>0.97594506743659781</v>
      </c>
      <c r="O143" s="21">
        <f>IF(D143="a",K143/25000,IF(D143="b",K143/15000,IF(D143="c",K143/5000)))/H143</f>
        <v>0.68440000000000001</v>
      </c>
    </row>
    <row r="144" spans="2:15" x14ac:dyDescent="0.3">
      <c r="B144" s="104" t="s">
        <v>310</v>
      </c>
      <c r="C144" s="105" t="s">
        <v>168</v>
      </c>
      <c r="D144" s="105" t="s">
        <v>3</v>
      </c>
      <c r="E144" s="106">
        <v>45838</v>
      </c>
      <c r="F144" s="107">
        <v>6</v>
      </c>
      <c r="G144" s="106"/>
      <c r="H144" s="108">
        <v>1</v>
      </c>
      <c r="I144" s="109">
        <v>1764198.0699999984</v>
      </c>
      <c r="J144" s="109">
        <v>4584</v>
      </c>
      <c r="K144" s="109">
        <v>4584</v>
      </c>
      <c r="L144" s="109">
        <v>1809343.49</v>
      </c>
      <c r="M144" s="109">
        <v>2850000</v>
      </c>
      <c r="N144" s="21">
        <f>IFERROR(L144/I144,"")</f>
        <v>1.0255897683869486</v>
      </c>
      <c r="O144" s="21">
        <f>IF(D144="a",K144/25000,IF(D144="b",K144/15000,IF(D144="c",K144/5000)))/H144</f>
        <v>0.91679999999999995</v>
      </c>
    </row>
    <row r="145" spans="2:15" ht="14.5" customHeight="1" x14ac:dyDescent="0.3">
      <c r="B145" s="104" t="s">
        <v>196</v>
      </c>
      <c r="C145" s="105" t="s">
        <v>6</v>
      </c>
      <c r="D145" s="105" t="s">
        <v>3</v>
      </c>
      <c r="E145" s="106">
        <v>45772</v>
      </c>
      <c r="F145" s="107">
        <v>4</v>
      </c>
      <c r="G145" s="106"/>
      <c r="H145" s="108">
        <v>1</v>
      </c>
      <c r="I145" s="109">
        <v>1658100.1800000009</v>
      </c>
      <c r="J145" s="109">
        <v>4754</v>
      </c>
      <c r="K145" s="109">
        <v>4449</v>
      </c>
      <c r="L145" s="109">
        <v>1763834.0999999999</v>
      </c>
      <c r="M145" s="109">
        <v>3000000</v>
      </c>
      <c r="N145" s="21">
        <f>IFERROR(L145/I145,"")</f>
        <v>1.0637681132149681</v>
      </c>
      <c r="O145" s="21">
        <f>IF(D145="a",K145/25000,IF(D145="b",K145/15000,IF(D145="c",K145/5000)))/H145</f>
        <v>0.88980000000000004</v>
      </c>
    </row>
    <row r="146" spans="2:15" x14ac:dyDescent="0.3">
      <c r="B146" s="104" t="s">
        <v>391</v>
      </c>
      <c r="C146" s="105" t="s">
        <v>2</v>
      </c>
      <c r="D146" s="105" t="s">
        <v>10</v>
      </c>
      <c r="E146" s="106">
        <v>45904</v>
      </c>
      <c r="F146" s="107">
        <v>9</v>
      </c>
      <c r="G146" s="106"/>
      <c r="H146" s="108">
        <v>1</v>
      </c>
      <c r="I146" s="109">
        <v>2517762.0099999974</v>
      </c>
      <c r="J146" s="109">
        <v>8019</v>
      </c>
      <c r="K146" s="109">
        <v>6753</v>
      </c>
      <c r="L146" s="109">
        <v>2361523.8200000003</v>
      </c>
      <c r="M146" s="109">
        <v>9250000</v>
      </c>
      <c r="N146" s="21">
        <f>IFERROR(L146/I146,"")</f>
        <v>0.93794560829043672</v>
      </c>
      <c r="O146" s="21">
        <f>IF(D146="a",K146/25000,IF(D146="b",K146/15000,IF(D146="c",K146/5000)))/H146</f>
        <v>0.27012000000000003</v>
      </c>
    </row>
    <row r="147" spans="2:15" x14ac:dyDescent="0.3">
      <c r="B147" s="104" t="s">
        <v>513</v>
      </c>
      <c r="C147" s="105" t="s">
        <v>2</v>
      </c>
      <c r="D147" s="105" t="s">
        <v>3</v>
      </c>
      <c r="E147" s="106">
        <v>46129</v>
      </c>
      <c r="F147" s="107" t="s">
        <v>508</v>
      </c>
      <c r="G147" s="106"/>
      <c r="H147" s="108">
        <v>1</v>
      </c>
      <c r="I147" s="109">
        <v>624050.7100000002</v>
      </c>
      <c r="J147" s="109">
        <v>1945</v>
      </c>
      <c r="K147" s="109">
        <v>1945</v>
      </c>
      <c r="L147" s="109">
        <v>348321.17000000004</v>
      </c>
      <c r="M147" s="109">
        <v>5650000</v>
      </c>
      <c r="N147" s="21">
        <f>IFERROR(L147/I147,"")</f>
        <v>0.5581616436266853</v>
      </c>
      <c r="O147" s="21">
        <f>IF(D147="a",K147/25000,IF(D147="b",K147/15000,IF(D147="c",K147/5000)))/H147</f>
        <v>0.38900000000000001</v>
      </c>
    </row>
    <row r="148" spans="2:15" x14ac:dyDescent="0.3">
      <c r="B148" s="104" t="s">
        <v>170</v>
      </c>
      <c r="C148" s="105" t="s">
        <v>2</v>
      </c>
      <c r="D148" s="105" t="s">
        <v>10</v>
      </c>
      <c r="E148" s="106">
        <v>45754</v>
      </c>
      <c r="F148" s="107">
        <v>4</v>
      </c>
      <c r="G148" s="106">
        <v>46487</v>
      </c>
      <c r="H148" s="108">
        <v>2</v>
      </c>
      <c r="I148" s="109">
        <v>13386859.210000008</v>
      </c>
      <c r="J148" s="109">
        <v>47185</v>
      </c>
      <c r="K148" s="109">
        <v>39918</v>
      </c>
      <c r="L148" s="109">
        <v>13465582.07</v>
      </c>
      <c r="M148" s="109">
        <v>20000000</v>
      </c>
      <c r="N148" s="21">
        <f>IFERROR(L148/I148,"")</f>
        <v>1.0058806071510176</v>
      </c>
      <c r="O148" s="21">
        <f>IF(D148="a",K148/25000,IF(D148="b",K148/15000,IF(D148="c",K148/5000)))/H148</f>
        <v>0.79835999999999996</v>
      </c>
    </row>
    <row r="149" spans="2:15" x14ac:dyDescent="0.3">
      <c r="B149" s="104" t="s">
        <v>56</v>
      </c>
      <c r="C149" s="105" t="s">
        <v>2</v>
      </c>
      <c r="D149" s="105" t="s">
        <v>17</v>
      </c>
      <c r="E149" s="106">
        <v>45735</v>
      </c>
      <c r="F149" s="107">
        <v>3</v>
      </c>
      <c r="G149" s="106"/>
      <c r="H149" s="108">
        <v>1</v>
      </c>
      <c r="I149" s="109">
        <v>5752217.1099999743</v>
      </c>
      <c r="J149" s="109">
        <v>17709</v>
      </c>
      <c r="K149" s="109">
        <v>15171</v>
      </c>
      <c r="L149" s="109">
        <v>6500000</v>
      </c>
      <c r="M149" s="109">
        <v>6500000</v>
      </c>
      <c r="N149" s="21">
        <f>IFERROR(L149/I149,"")</f>
        <v>1.1299990726532276</v>
      </c>
      <c r="O149" s="21">
        <f>IF(D149="a",K149/25000,IF(D149="b",K149/15000,IF(D149="c",K149/5000)))/H149</f>
        <v>1.0114000000000001</v>
      </c>
    </row>
    <row r="150" spans="2:15" x14ac:dyDescent="0.3">
      <c r="B150" s="104" t="s">
        <v>378</v>
      </c>
      <c r="C150" s="105" t="s">
        <v>2</v>
      </c>
      <c r="D150" s="105" t="s">
        <v>10</v>
      </c>
      <c r="E150" s="106">
        <v>45888</v>
      </c>
      <c r="F150" s="107">
        <v>8</v>
      </c>
      <c r="G150" s="106"/>
      <c r="H150" s="108">
        <v>1</v>
      </c>
      <c r="I150" s="109">
        <v>9463205.7500000149</v>
      </c>
      <c r="J150" s="109">
        <v>31481</v>
      </c>
      <c r="K150" s="109">
        <v>25961</v>
      </c>
      <c r="L150" s="109">
        <v>10700000</v>
      </c>
      <c r="M150" s="109">
        <v>11000000</v>
      </c>
      <c r="N150" s="21">
        <f>IFERROR(L150/I150,"")</f>
        <v>1.1306950607092088</v>
      </c>
      <c r="O150" s="21">
        <f>IF(D150="a",K150/25000,IF(D150="b",K150/15000,IF(D150="c",K150/5000)))/H150</f>
        <v>1.03844</v>
      </c>
    </row>
    <row r="151" spans="2:15" x14ac:dyDescent="0.3">
      <c r="B151" s="104" t="s">
        <v>551</v>
      </c>
      <c r="C151" s="105" t="s">
        <v>2</v>
      </c>
      <c r="D151" s="105" t="s">
        <v>10</v>
      </c>
      <c r="E151" s="106">
        <v>46181</v>
      </c>
      <c r="F151" s="107" t="s">
        <v>553</v>
      </c>
      <c r="G151" s="106"/>
      <c r="H151" s="108">
        <v>1</v>
      </c>
      <c r="I151" s="109">
        <v>0</v>
      </c>
      <c r="J151" s="109">
        <v>0</v>
      </c>
      <c r="K151" s="109">
        <v>0</v>
      </c>
      <c r="L151" s="109">
        <v>0</v>
      </c>
      <c r="M151" s="109">
        <v>9000000</v>
      </c>
      <c r="N151" s="21" t="str">
        <f>IFERROR(L151/I151,"")</f>
        <v/>
      </c>
      <c r="O151" s="21">
        <f>IF(D151="a",K151/25000,IF(D151="b",K151/15000,IF(D151="c",K151/5000)))/H151</f>
        <v>0</v>
      </c>
    </row>
    <row r="152" spans="2:15" x14ac:dyDescent="0.3">
      <c r="B152" s="104" t="s">
        <v>312</v>
      </c>
      <c r="C152" s="105" t="s">
        <v>2</v>
      </c>
      <c r="D152" s="105" t="s">
        <v>3</v>
      </c>
      <c r="E152" s="106">
        <v>45825</v>
      </c>
      <c r="F152" s="107">
        <v>6</v>
      </c>
      <c r="G152" s="106"/>
      <c r="H152" s="108">
        <v>1</v>
      </c>
      <c r="I152" s="109">
        <v>1582043.3499999926</v>
      </c>
      <c r="J152" s="109">
        <v>4328</v>
      </c>
      <c r="K152" s="109">
        <v>4328</v>
      </c>
      <c r="L152" s="109">
        <v>1297441.5900000001</v>
      </c>
      <c r="M152" s="109">
        <v>3000000</v>
      </c>
      <c r="N152" s="21">
        <f>IFERROR(L152/I152,"")</f>
        <v>0.82010495477257694</v>
      </c>
      <c r="O152" s="21">
        <f>IF(D152="a",K152/25000,IF(D152="b",K152/15000,IF(D152="c",K152/5000)))/H152</f>
        <v>0.86560000000000004</v>
      </c>
    </row>
    <row r="153" spans="2:15" x14ac:dyDescent="0.3">
      <c r="B153" s="104" t="s">
        <v>58</v>
      </c>
      <c r="C153" s="105" t="s">
        <v>2</v>
      </c>
      <c r="D153" s="105" t="s">
        <v>10</v>
      </c>
      <c r="E153" s="106">
        <v>45730</v>
      </c>
      <c r="F153" s="107">
        <v>3</v>
      </c>
      <c r="G153" s="106"/>
      <c r="H153" s="108">
        <v>1</v>
      </c>
      <c r="I153" s="109">
        <v>10183786.389999984</v>
      </c>
      <c r="J153" s="109">
        <v>36666</v>
      </c>
      <c r="K153" s="109">
        <v>28781</v>
      </c>
      <c r="L153" s="109">
        <v>11506648.879999999</v>
      </c>
      <c r="M153" s="109">
        <v>11506648.880000001</v>
      </c>
      <c r="N153" s="21">
        <f>IFERROR(L153/I153,"")</f>
        <v>1.1298988842989681</v>
      </c>
      <c r="O153" s="21">
        <f>IF(D153="a",K153/25000,IF(D153="b",K153/15000,IF(D153="c",K153/5000)))/H153</f>
        <v>1.15124</v>
      </c>
    </row>
    <row r="154" spans="2:15" x14ac:dyDescent="0.3">
      <c r="B154" s="104" t="s">
        <v>545</v>
      </c>
      <c r="C154" s="105" t="s">
        <v>2</v>
      </c>
      <c r="D154" s="105" t="s">
        <v>10</v>
      </c>
      <c r="E154" s="106">
        <v>46171</v>
      </c>
      <c r="F154" s="107" t="s">
        <v>526</v>
      </c>
      <c r="G154" s="106"/>
      <c r="H154" s="108">
        <v>1</v>
      </c>
      <c r="I154" s="109">
        <v>1655780.7600000002</v>
      </c>
      <c r="J154" s="109">
        <v>4986</v>
      </c>
      <c r="K154" s="109">
        <v>4986</v>
      </c>
      <c r="L154" s="109">
        <v>500000</v>
      </c>
      <c r="M154" s="109">
        <v>9000000</v>
      </c>
      <c r="N154" s="21">
        <f>IFERROR(L154/I154,"")</f>
        <v>0.30197234566247766</v>
      </c>
      <c r="O154" s="21">
        <f>IF(D154="a",K154/25000,IF(D154="b",K154/15000,IF(D154="c",K154/5000)))/H154</f>
        <v>0.19944000000000001</v>
      </c>
    </row>
    <row r="155" spans="2:15" x14ac:dyDescent="0.3">
      <c r="B155" s="104" t="s">
        <v>188</v>
      </c>
      <c r="C155" s="105" t="s">
        <v>2</v>
      </c>
      <c r="D155" s="105" t="s">
        <v>10</v>
      </c>
      <c r="E155" s="106">
        <v>45757</v>
      </c>
      <c r="F155" s="107">
        <v>4</v>
      </c>
      <c r="G155" s="106"/>
      <c r="H155" s="108">
        <v>1</v>
      </c>
      <c r="I155" s="109">
        <v>8549052.1699999347</v>
      </c>
      <c r="J155" s="109">
        <v>25805</v>
      </c>
      <c r="K155" s="109">
        <v>24762</v>
      </c>
      <c r="L155" s="109">
        <v>12000000</v>
      </c>
      <c r="M155" s="109">
        <v>12000000</v>
      </c>
      <c r="N155" s="21">
        <f>IFERROR(L155/I155,"")</f>
        <v>1.4036643783868841</v>
      </c>
      <c r="O155" s="21">
        <f>IF(D155="a",K155/25000,IF(D155="b",K155/15000,IF(D155="c",K155/5000)))/H155</f>
        <v>0.99048000000000003</v>
      </c>
    </row>
    <row r="156" spans="2:15" x14ac:dyDescent="0.3">
      <c r="B156" s="104" t="s">
        <v>209</v>
      </c>
      <c r="C156" s="105" t="s">
        <v>2</v>
      </c>
      <c r="D156" s="105" t="s">
        <v>3</v>
      </c>
      <c r="E156" s="106">
        <v>45776</v>
      </c>
      <c r="F156" s="107">
        <v>4</v>
      </c>
      <c r="G156" s="106"/>
      <c r="H156" s="108">
        <v>1</v>
      </c>
      <c r="I156" s="109">
        <v>737386.3600000015</v>
      </c>
      <c r="J156" s="109">
        <v>2013</v>
      </c>
      <c r="K156" s="109">
        <v>1788</v>
      </c>
      <c r="L156" s="109">
        <v>831578.37</v>
      </c>
      <c r="M156" s="109">
        <v>3000000</v>
      </c>
      <c r="N156" s="21">
        <f>IFERROR(L156/I156,"")</f>
        <v>1.1277376625192772</v>
      </c>
      <c r="O156" s="21">
        <f>IF(D156="a",K156/25000,IF(D156="b",K156/15000,IF(D156="c",K156/5000)))/H156</f>
        <v>0.35759999999999997</v>
      </c>
    </row>
    <row r="157" spans="2:15" x14ac:dyDescent="0.3">
      <c r="B157" s="104" t="s">
        <v>220</v>
      </c>
      <c r="C157" s="105" t="s">
        <v>2</v>
      </c>
      <c r="D157" s="105" t="s">
        <v>3</v>
      </c>
      <c r="E157" s="106">
        <v>45758</v>
      </c>
      <c r="F157" s="107">
        <v>4</v>
      </c>
      <c r="G157" s="106"/>
      <c r="H157" s="108">
        <v>1</v>
      </c>
      <c r="I157" s="109">
        <v>167514.99999999997</v>
      </c>
      <c r="J157" s="109">
        <v>450</v>
      </c>
      <c r="K157" s="109">
        <v>448</v>
      </c>
      <c r="L157" s="109">
        <v>177890.36</v>
      </c>
      <c r="M157" s="109">
        <v>2950000</v>
      </c>
      <c r="N157" s="21">
        <f>IFERROR(L157/I157,"")</f>
        <v>1.0619369011730293</v>
      </c>
      <c r="O157" s="21">
        <f>IF(D157="a",K157/25000,IF(D157="b",K157/15000,IF(D157="c",K157/5000)))/H157</f>
        <v>8.9599999999999999E-2</v>
      </c>
    </row>
    <row r="158" spans="2:15" x14ac:dyDescent="0.3">
      <c r="B158" s="104" t="s">
        <v>306</v>
      </c>
      <c r="C158" s="105" t="s">
        <v>2</v>
      </c>
      <c r="D158" s="105" t="s">
        <v>3</v>
      </c>
      <c r="E158" s="106">
        <v>45825</v>
      </c>
      <c r="F158" s="107">
        <v>6</v>
      </c>
      <c r="G158" s="106"/>
      <c r="H158" s="108">
        <v>1</v>
      </c>
      <c r="I158" s="109">
        <v>1595298.2399999991</v>
      </c>
      <c r="J158" s="109">
        <v>4487</v>
      </c>
      <c r="K158" s="109">
        <v>4479</v>
      </c>
      <c r="L158" s="109">
        <v>1642955.5399999998</v>
      </c>
      <c r="M158" s="109">
        <v>4000000</v>
      </c>
      <c r="N158" s="21">
        <f>IFERROR(L158/I158,"")</f>
        <v>1.0298735990581929</v>
      </c>
      <c r="O158" s="21">
        <f>IF(D158="a",K158/25000,IF(D158="b",K158/15000,IF(D158="c",K158/5000)))/H158</f>
        <v>0.89580000000000004</v>
      </c>
    </row>
    <row r="159" spans="2:15" x14ac:dyDescent="0.3">
      <c r="B159" s="104" t="s">
        <v>403</v>
      </c>
      <c r="C159" s="105" t="s">
        <v>2</v>
      </c>
      <c r="D159" s="105" t="s">
        <v>10</v>
      </c>
      <c r="E159" s="106">
        <v>46010</v>
      </c>
      <c r="F159" s="107">
        <v>12</v>
      </c>
      <c r="G159" s="106"/>
      <c r="H159" s="108">
        <v>1</v>
      </c>
      <c r="I159" s="109">
        <v>3212068.4300000011</v>
      </c>
      <c r="J159" s="109">
        <v>10754</v>
      </c>
      <c r="K159" s="109">
        <v>9437</v>
      </c>
      <c r="L159" s="109">
        <v>2607449.44</v>
      </c>
      <c r="M159" s="109">
        <v>9000000</v>
      </c>
      <c r="N159" s="21">
        <f>IFERROR(L159/I159,"")</f>
        <v>0.81176646663159635</v>
      </c>
      <c r="O159" s="21">
        <f>IF(D159="a",K159/25000,IF(D159="b",K159/15000,IF(D159="c",K159/5000)))/H159</f>
        <v>0.37747999999999998</v>
      </c>
    </row>
    <row r="160" spans="2:15" x14ac:dyDescent="0.3">
      <c r="B160" s="104" t="s">
        <v>316</v>
      </c>
      <c r="C160" s="105" t="s">
        <v>2</v>
      </c>
      <c r="D160" s="105" t="s">
        <v>3</v>
      </c>
      <c r="E160" s="106">
        <v>45832</v>
      </c>
      <c r="F160" s="107">
        <v>6</v>
      </c>
      <c r="G160" s="106"/>
      <c r="H160" s="108">
        <v>1</v>
      </c>
      <c r="I160" s="109">
        <v>1137103.1800000011</v>
      </c>
      <c r="J160" s="109">
        <v>3445</v>
      </c>
      <c r="K160" s="109">
        <v>3371</v>
      </c>
      <c r="L160" s="109">
        <v>1191571.32</v>
      </c>
      <c r="M160" s="109">
        <v>3000000</v>
      </c>
      <c r="N160" s="21">
        <f>IFERROR(L160/I160,"")</f>
        <v>1.0479007894428709</v>
      </c>
      <c r="O160" s="21">
        <f>IF(D160="a",K160/25000,IF(D160="b",K160/15000,IF(D160="c",K160/5000)))/H160</f>
        <v>0.67420000000000002</v>
      </c>
    </row>
    <row r="161" spans="2:15" x14ac:dyDescent="0.3">
      <c r="B161" s="104" t="s">
        <v>163</v>
      </c>
      <c r="C161" s="105" t="s">
        <v>2</v>
      </c>
      <c r="D161" s="105" t="s">
        <v>3</v>
      </c>
      <c r="E161" s="106">
        <v>45772</v>
      </c>
      <c r="F161" s="107">
        <v>4</v>
      </c>
      <c r="G161" s="106"/>
      <c r="H161" s="108">
        <v>1</v>
      </c>
      <c r="I161" s="109">
        <v>2528168.1000000043</v>
      </c>
      <c r="J161" s="109">
        <v>6941</v>
      </c>
      <c r="K161" s="109">
        <v>6499</v>
      </c>
      <c r="L161" s="109">
        <v>2853923.24</v>
      </c>
      <c r="M161" s="109">
        <v>2861370.75</v>
      </c>
      <c r="N161" s="21">
        <f>IFERROR(L161/I161,"")</f>
        <v>1.128850269094051</v>
      </c>
      <c r="O161" s="21">
        <f>IF(D161="a",K161/25000,IF(D161="b",K161/15000,IF(D161="c",K161/5000)))/H161</f>
        <v>1.2998000000000001</v>
      </c>
    </row>
    <row r="162" spans="2:15" x14ac:dyDescent="0.3">
      <c r="B162" s="104" t="s">
        <v>161</v>
      </c>
      <c r="C162" s="105" t="s">
        <v>2</v>
      </c>
      <c r="D162" s="105" t="s">
        <v>3</v>
      </c>
      <c r="E162" s="106">
        <v>45756</v>
      </c>
      <c r="F162" s="107">
        <v>4</v>
      </c>
      <c r="G162" s="106">
        <v>46486</v>
      </c>
      <c r="H162" s="108">
        <v>2</v>
      </c>
      <c r="I162" s="109">
        <v>2919938.219999996</v>
      </c>
      <c r="J162" s="109">
        <v>8790</v>
      </c>
      <c r="K162" s="109">
        <v>8257</v>
      </c>
      <c r="L162" s="109">
        <v>3239525.71</v>
      </c>
      <c r="M162" s="109">
        <v>4300000</v>
      </c>
      <c r="N162" s="21">
        <f>IFERROR(L162/I162,"")</f>
        <v>1.1094500862418946</v>
      </c>
      <c r="O162" s="21">
        <f>IF(D162="a",K162/25000,IF(D162="b",K162/15000,IF(D162="c",K162/5000)))/H162</f>
        <v>0.82569999999999999</v>
      </c>
    </row>
    <row r="163" spans="2:15" x14ac:dyDescent="0.3">
      <c r="B163" s="104" t="s">
        <v>27</v>
      </c>
      <c r="C163" s="105" t="s">
        <v>13</v>
      </c>
      <c r="D163" s="105" t="s">
        <v>10</v>
      </c>
      <c r="E163" s="106">
        <v>45712</v>
      </c>
      <c r="F163" s="107">
        <v>2</v>
      </c>
      <c r="G163" s="106">
        <v>46443</v>
      </c>
      <c r="H163" s="108">
        <v>3</v>
      </c>
      <c r="I163" s="109">
        <v>24922816.180000015</v>
      </c>
      <c r="J163" s="109">
        <v>85715</v>
      </c>
      <c r="K163" s="109">
        <v>74673</v>
      </c>
      <c r="L163" s="109">
        <v>25101378.030000001</v>
      </c>
      <c r="M163" s="109">
        <v>31849937.57</v>
      </c>
      <c r="N163" s="21">
        <f>IFERROR(L163/I163,"")</f>
        <v>1.0071645936281983</v>
      </c>
      <c r="O163" s="21">
        <f>IF(D163="a",K163/25000,IF(D163="b",K163/15000,IF(D163="c",K163/5000)))/H163</f>
        <v>0.99563999999999997</v>
      </c>
    </row>
    <row r="164" spans="2:15" x14ac:dyDescent="0.3">
      <c r="B164" s="104" t="s">
        <v>39</v>
      </c>
      <c r="C164" s="105" t="s">
        <v>13</v>
      </c>
      <c r="D164" s="105" t="s">
        <v>3</v>
      </c>
      <c r="E164" s="106">
        <v>45741</v>
      </c>
      <c r="F164" s="107">
        <v>3</v>
      </c>
      <c r="G164" s="106">
        <v>46487</v>
      </c>
      <c r="H164" s="108">
        <v>2</v>
      </c>
      <c r="I164" s="109">
        <v>3752666.3200000036</v>
      </c>
      <c r="J164" s="109">
        <v>11661</v>
      </c>
      <c r="K164" s="109">
        <v>11291</v>
      </c>
      <c r="L164" s="109">
        <v>4093532.01</v>
      </c>
      <c r="M164" s="109">
        <v>4550000</v>
      </c>
      <c r="N164" s="21">
        <f>IFERROR(L164/I164,"")</f>
        <v>1.090832933422121</v>
      </c>
      <c r="O164" s="21">
        <f>IF(D164="a",K164/25000,IF(D164="b",K164/15000,IF(D164="c",K164/5000)))/H164</f>
        <v>1.1291</v>
      </c>
    </row>
    <row r="165" spans="2:15" x14ac:dyDescent="0.3">
      <c r="B165" s="104" t="s">
        <v>318</v>
      </c>
      <c r="C165" s="105" t="s">
        <v>6</v>
      </c>
      <c r="D165" s="105" t="s">
        <v>3</v>
      </c>
      <c r="E165" s="106">
        <v>45817</v>
      </c>
      <c r="F165" s="107">
        <v>6</v>
      </c>
      <c r="G165" s="106"/>
      <c r="H165" s="108">
        <v>1</v>
      </c>
      <c r="I165" s="109">
        <v>1155087.2800000005</v>
      </c>
      <c r="J165" s="109">
        <v>3084</v>
      </c>
      <c r="K165" s="109">
        <v>3084</v>
      </c>
      <c r="L165" s="109">
        <v>1205164.6300000001</v>
      </c>
      <c r="M165" s="109">
        <v>3000000</v>
      </c>
      <c r="N165" s="21">
        <f>IFERROR(L165/I165,"")</f>
        <v>1.0433537368708619</v>
      </c>
      <c r="O165" s="21">
        <f>IF(D165="a",K165/25000,IF(D165="b",K165/15000,IF(D165="c",K165/5000)))/H165</f>
        <v>0.61680000000000001</v>
      </c>
    </row>
    <row r="166" spans="2:15" x14ac:dyDescent="0.3">
      <c r="B166" s="104" t="s">
        <v>95</v>
      </c>
      <c r="C166" s="105" t="s">
        <v>6</v>
      </c>
      <c r="D166" s="105" t="s">
        <v>10</v>
      </c>
      <c r="E166" s="106">
        <v>45723</v>
      </c>
      <c r="F166" s="107">
        <v>3</v>
      </c>
      <c r="G166" s="106">
        <v>46386</v>
      </c>
      <c r="H166" s="108">
        <v>2</v>
      </c>
      <c r="I166" s="109">
        <v>16622485.270000106</v>
      </c>
      <c r="J166" s="109">
        <v>49426</v>
      </c>
      <c r="K166" s="109">
        <v>42421</v>
      </c>
      <c r="L166" s="109">
        <v>17456890.809999999</v>
      </c>
      <c r="M166" s="109">
        <v>27500000</v>
      </c>
      <c r="N166" s="21">
        <f>IFERROR(L166/I166,"")</f>
        <v>1.0501973998741216</v>
      </c>
      <c r="O166" s="21">
        <f>IF(D166="a",K166/25000,IF(D166="b",K166/15000,IF(D166="c",K166/5000)))/H166</f>
        <v>0.84841999999999995</v>
      </c>
    </row>
    <row r="167" spans="2:15" x14ac:dyDescent="0.3">
      <c r="B167" s="104" t="s">
        <v>320</v>
      </c>
      <c r="C167" s="105" t="s">
        <v>6</v>
      </c>
      <c r="D167" s="105" t="s">
        <v>3</v>
      </c>
      <c r="E167" s="106">
        <v>45811</v>
      </c>
      <c r="F167" s="107">
        <v>6</v>
      </c>
      <c r="G167" s="106"/>
      <c r="H167" s="108">
        <v>1</v>
      </c>
      <c r="I167" s="109">
        <v>995060.02000000118</v>
      </c>
      <c r="J167" s="109">
        <v>2357</v>
      </c>
      <c r="K167" s="109">
        <v>2357</v>
      </c>
      <c r="L167" s="109">
        <v>1080115.78</v>
      </c>
      <c r="M167" s="109">
        <v>3000000</v>
      </c>
      <c r="N167" s="21">
        <f>IFERROR(L167/I167,"")</f>
        <v>1.0854780197077949</v>
      </c>
      <c r="O167" s="21">
        <f>IF(D167="a",K167/25000,IF(D167="b",K167/15000,IF(D167="c",K167/5000)))/H167</f>
        <v>0.47139999999999999</v>
      </c>
    </row>
    <row r="168" spans="2:15" x14ac:dyDescent="0.3">
      <c r="B168" s="104" t="s">
        <v>360</v>
      </c>
      <c r="C168" s="105" t="s">
        <v>6</v>
      </c>
      <c r="D168" s="105" t="s">
        <v>3</v>
      </c>
      <c r="E168" s="106">
        <v>45845</v>
      </c>
      <c r="F168" s="107">
        <v>7</v>
      </c>
      <c r="G168" s="106"/>
      <c r="H168" s="108">
        <v>1</v>
      </c>
      <c r="I168" s="109">
        <v>1078976.6999999997</v>
      </c>
      <c r="J168" s="109">
        <v>2872</v>
      </c>
      <c r="K168" s="109">
        <v>2872</v>
      </c>
      <c r="L168" s="109">
        <v>998149.85999999987</v>
      </c>
      <c r="M168" s="109">
        <v>2000000</v>
      </c>
      <c r="N168" s="21">
        <f>IFERROR(L168/I168,"")</f>
        <v>0.92508935549766746</v>
      </c>
      <c r="O168" s="21">
        <f>IF(D168="a",K168/25000,IF(D168="b",K168/15000,IF(D168="c",K168/5000)))/H168</f>
        <v>0.57440000000000002</v>
      </c>
    </row>
    <row r="169" spans="2:15" x14ac:dyDescent="0.3">
      <c r="B169" s="104" t="s">
        <v>321</v>
      </c>
      <c r="C169" s="105" t="s">
        <v>6</v>
      </c>
      <c r="D169" s="105" t="s">
        <v>3</v>
      </c>
      <c r="E169" s="106">
        <v>45818</v>
      </c>
      <c r="F169" s="107">
        <v>6</v>
      </c>
      <c r="G169" s="106"/>
      <c r="H169" s="108">
        <v>1</v>
      </c>
      <c r="I169" s="109">
        <v>972913.70999999903</v>
      </c>
      <c r="J169" s="109">
        <v>2273</v>
      </c>
      <c r="K169" s="109">
        <v>2232</v>
      </c>
      <c r="L169" s="109">
        <v>960215.71000000008</v>
      </c>
      <c r="M169" s="109">
        <v>3000000</v>
      </c>
      <c r="N169" s="21">
        <f>IFERROR(L169/I169,"")</f>
        <v>0.98694848282074377</v>
      </c>
      <c r="O169" s="21">
        <f>IF(D169="a",K169/25000,IF(D169="b",K169/15000,IF(D169="c",K169/5000)))/H169</f>
        <v>0.44640000000000002</v>
      </c>
    </row>
    <row r="170" spans="2:15" x14ac:dyDescent="0.3">
      <c r="B170" s="104" t="s">
        <v>254</v>
      </c>
      <c r="C170" s="105" t="s">
        <v>70</v>
      </c>
      <c r="D170" s="105" t="s">
        <v>10</v>
      </c>
      <c r="E170" s="106">
        <v>45803</v>
      </c>
      <c r="F170" s="107">
        <v>5</v>
      </c>
      <c r="G170" s="106"/>
      <c r="H170" s="108">
        <v>1</v>
      </c>
      <c r="I170" s="109">
        <v>7026289.0399999907</v>
      </c>
      <c r="J170" s="109">
        <v>21607</v>
      </c>
      <c r="K170" s="109">
        <v>19823</v>
      </c>
      <c r="L170" s="109">
        <v>7067310.79</v>
      </c>
      <c r="M170" s="109">
        <v>9000000</v>
      </c>
      <c r="N170" s="21">
        <f>IFERROR(L170/I170,"")</f>
        <v>1.0058383237248676</v>
      </c>
      <c r="O170" s="21">
        <f>IF(D170="a",K170/25000,IF(D170="b",K170/15000,IF(D170="c",K170/5000)))/H170</f>
        <v>0.79291999999999996</v>
      </c>
    </row>
    <row r="171" spans="2:15" x14ac:dyDescent="0.3">
      <c r="B171" s="104" t="s">
        <v>129</v>
      </c>
      <c r="C171" s="105" t="s">
        <v>70</v>
      </c>
      <c r="D171" s="105" t="s">
        <v>3</v>
      </c>
      <c r="E171" s="106">
        <v>45726</v>
      </c>
      <c r="F171" s="107">
        <v>3</v>
      </c>
      <c r="G171" s="106"/>
      <c r="H171" s="108">
        <v>1</v>
      </c>
      <c r="I171" s="109">
        <v>562101.10000000021</v>
      </c>
      <c r="J171" s="109">
        <v>1531</v>
      </c>
      <c r="K171" s="109">
        <v>1531</v>
      </c>
      <c r="L171" s="109">
        <v>636533.81999999995</v>
      </c>
      <c r="M171" s="109">
        <v>2450000</v>
      </c>
      <c r="N171" s="21">
        <f>IFERROR(L171/I171,"")</f>
        <v>1.1324187410414241</v>
      </c>
      <c r="O171" s="21">
        <f>IF(D171="a",K171/25000,IF(D171="b",K171/15000,IF(D171="c",K171/5000)))/H171</f>
        <v>0.30620000000000003</v>
      </c>
    </row>
    <row r="172" spans="2:15" x14ac:dyDescent="0.3">
      <c r="B172" s="104" t="s">
        <v>246</v>
      </c>
      <c r="C172" s="105" t="s">
        <v>70</v>
      </c>
      <c r="D172" s="105" t="s">
        <v>3</v>
      </c>
      <c r="E172" s="106">
        <v>45806</v>
      </c>
      <c r="F172" s="107">
        <v>5</v>
      </c>
      <c r="G172" s="106"/>
      <c r="H172" s="108">
        <v>1</v>
      </c>
      <c r="I172" s="109">
        <v>1660180.4799999991</v>
      </c>
      <c r="J172" s="109">
        <v>5484</v>
      </c>
      <c r="K172" s="109">
        <v>4906</v>
      </c>
      <c r="L172" s="109">
        <v>1885161</v>
      </c>
      <c r="M172" s="109">
        <v>1969000</v>
      </c>
      <c r="N172" s="21">
        <f>IFERROR(L172/I172,"")</f>
        <v>1.1355157000761755</v>
      </c>
      <c r="O172" s="21">
        <f>IF(D172="a",K172/25000,IF(D172="b",K172/15000,IF(D172="c",K172/5000)))/H172</f>
        <v>0.98119999999999996</v>
      </c>
    </row>
    <row r="173" spans="2:15" x14ac:dyDescent="0.3">
      <c r="B173" s="104" t="s">
        <v>383</v>
      </c>
      <c r="C173" s="105" t="s">
        <v>9</v>
      </c>
      <c r="D173" s="105" t="s">
        <v>3</v>
      </c>
      <c r="E173" s="106">
        <v>45891</v>
      </c>
      <c r="F173" s="107">
        <v>8</v>
      </c>
      <c r="G173" s="106"/>
      <c r="H173" s="108">
        <v>1</v>
      </c>
      <c r="I173" s="109">
        <v>269352.82000000024</v>
      </c>
      <c r="J173" s="109">
        <v>758</v>
      </c>
      <c r="K173" s="109">
        <v>755</v>
      </c>
      <c r="L173" s="109">
        <v>284434.58999999997</v>
      </c>
      <c r="M173" s="109">
        <v>3000000</v>
      </c>
      <c r="N173" s="21">
        <f>IFERROR(L173/I173,"")</f>
        <v>1.0559926196428897</v>
      </c>
      <c r="O173" s="21">
        <f>IF(D173="a",K173/25000,IF(D173="b",K173/15000,IF(D173="c",K173/5000)))/H173</f>
        <v>0.151</v>
      </c>
    </row>
    <row r="174" spans="2:15" x14ac:dyDescent="0.3">
      <c r="B174" s="104" t="s">
        <v>527</v>
      </c>
      <c r="C174" s="105" t="s">
        <v>2</v>
      </c>
      <c r="D174" s="105" t="s">
        <v>3</v>
      </c>
      <c r="E174" s="106">
        <v>46153</v>
      </c>
      <c r="F174" s="107" t="s">
        <v>526</v>
      </c>
      <c r="G174" s="106"/>
      <c r="H174" s="108">
        <v>1</v>
      </c>
      <c r="I174" s="109">
        <v>0</v>
      </c>
      <c r="J174" s="109">
        <v>0</v>
      </c>
      <c r="K174" s="109">
        <v>0</v>
      </c>
      <c r="L174" s="109">
        <v>0</v>
      </c>
      <c r="M174" s="109">
        <v>3000000</v>
      </c>
      <c r="N174" s="21" t="str">
        <f>IFERROR(L174/I174,"")</f>
        <v/>
      </c>
      <c r="O174" s="21">
        <f>IF(D174="a",K174/25000,IF(D174="b",K174/15000,IF(D174="c",K174/5000)))/H174</f>
        <v>0</v>
      </c>
    </row>
    <row r="175" spans="2:15" x14ac:dyDescent="0.3">
      <c r="B175" s="104" t="s">
        <v>64</v>
      </c>
      <c r="C175" s="105" t="s">
        <v>6</v>
      </c>
      <c r="D175" s="105" t="s">
        <v>3</v>
      </c>
      <c r="E175" s="106">
        <v>45723</v>
      </c>
      <c r="F175" s="107">
        <v>3</v>
      </c>
      <c r="G175" s="106">
        <v>46273</v>
      </c>
      <c r="H175" s="108">
        <v>2</v>
      </c>
      <c r="I175" s="109">
        <v>5146385.870000002</v>
      </c>
      <c r="J175" s="109">
        <v>12721</v>
      </c>
      <c r="K175" s="109">
        <v>12063</v>
      </c>
      <c r="L175" s="109">
        <v>5333083.37</v>
      </c>
      <c r="M175" s="109">
        <v>7000000</v>
      </c>
      <c r="N175" s="21">
        <f>IFERROR(L175/I175,"")</f>
        <v>1.0362774002408797</v>
      </c>
      <c r="O175" s="21">
        <f>IF(D175="a",K175/25000,IF(D175="b",K175/15000,IF(D175="c",K175/5000)))/H175</f>
        <v>1.2062999999999999</v>
      </c>
    </row>
    <row r="176" spans="2:15" x14ac:dyDescent="0.3">
      <c r="B176" s="104" t="s">
        <v>226</v>
      </c>
      <c r="C176" s="105" t="s">
        <v>131</v>
      </c>
      <c r="D176" s="105" t="s">
        <v>10</v>
      </c>
      <c r="E176" s="106">
        <v>45798</v>
      </c>
      <c r="F176" s="107">
        <v>5</v>
      </c>
      <c r="G176" s="106">
        <v>46535</v>
      </c>
      <c r="H176" s="108">
        <v>1</v>
      </c>
      <c r="I176" s="109">
        <v>13119856.430000016</v>
      </c>
      <c r="J176" s="109">
        <v>43947</v>
      </c>
      <c r="K176" s="109">
        <v>36620</v>
      </c>
      <c r="L176" s="109">
        <v>14619787.5</v>
      </c>
      <c r="M176" s="109">
        <v>20018000</v>
      </c>
      <c r="N176" s="21">
        <f>IFERROR(L176/I176,"")</f>
        <v>1.1143252655242648</v>
      </c>
      <c r="O176" s="21">
        <f>IF(D176="a",K176/25000,IF(D176="b",K176/15000,IF(D176="c",K176/5000)))/H176</f>
        <v>1.4648000000000001</v>
      </c>
    </row>
    <row r="177" spans="2:15" x14ac:dyDescent="0.3">
      <c r="B177" s="104" t="s">
        <v>543</v>
      </c>
      <c r="C177" s="105" t="s">
        <v>131</v>
      </c>
      <c r="D177" s="105" t="s">
        <v>10</v>
      </c>
      <c r="E177" s="106">
        <v>46170</v>
      </c>
      <c r="F177" s="107" t="s">
        <v>526</v>
      </c>
      <c r="G177" s="106"/>
      <c r="H177" s="108">
        <v>1</v>
      </c>
      <c r="I177" s="109">
        <v>544043.88999999943</v>
      </c>
      <c r="J177" s="109">
        <v>1581</v>
      </c>
      <c r="K177" s="109">
        <v>1581</v>
      </c>
      <c r="L177" s="109">
        <v>0</v>
      </c>
      <c r="M177" s="109">
        <v>9250000</v>
      </c>
      <c r="N177" s="21">
        <f>IFERROR(L177/I177,"")</f>
        <v>0</v>
      </c>
      <c r="O177" s="21">
        <f>IF(D177="a",K177/25000,IF(D177="b",K177/15000,IF(D177="c",K177/5000)))/H177</f>
        <v>6.3240000000000005E-2</v>
      </c>
    </row>
    <row r="178" spans="2:15" x14ac:dyDescent="0.3">
      <c r="B178" s="104" t="s">
        <v>1</v>
      </c>
      <c r="C178" s="105" t="s">
        <v>2</v>
      </c>
      <c r="D178" s="105" t="s">
        <v>3</v>
      </c>
      <c r="E178" s="106">
        <v>45707</v>
      </c>
      <c r="F178" s="107">
        <v>2</v>
      </c>
      <c r="G178" s="106"/>
      <c r="H178" s="108">
        <v>1</v>
      </c>
      <c r="I178" s="109">
        <v>4512740.8000000156</v>
      </c>
      <c r="J178" s="109">
        <v>14755</v>
      </c>
      <c r="K178" s="109">
        <v>13003</v>
      </c>
      <c r="L178" s="109">
        <v>5100000</v>
      </c>
      <c r="M178" s="109">
        <v>5100000</v>
      </c>
      <c r="N178" s="21">
        <f>IFERROR(L178/I178,"")</f>
        <v>1.1301335986325609</v>
      </c>
      <c r="O178" s="21">
        <f>IF(D178="a",K178/25000,IF(D178="b",K178/15000,IF(D178="c",K178/5000)))/H178</f>
        <v>2.6006</v>
      </c>
    </row>
    <row r="179" spans="2:15" x14ac:dyDescent="0.3">
      <c r="B179" s="104" t="s">
        <v>240</v>
      </c>
      <c r="C179" s="105" t="s">
        <v>2</v>
      </c>
      <c r="D179" s="105" t="s">
        <v>17</v>
      </c>
      <c r="E179" s="106">
        <v>45791</v>
      </c>
      <c r="F179" s="107">
        <v>5</v>
      </c>
      <c r="G179" s="106"/>
      <c r="H179" s="108">
        <v>1</v>
      </c>
      <c r="I179" s="109">
        <v>5307506.9699999671</v>
      </c>
      <c r="J179" s="109">
        <v>16822</v>
      </c>
      <c r="K179" s="109">
        <v>14613</v>
      </c>
      <c r="L179" s="109">
        <v>6000000</v>
      </c>
      <c r="M179" s="109">
        <v>6000000</v>
      </c>
      <c r="N179" s="21">
        <f>IFERROR(L179/I179,"")</f>
        <v>1.1304742572952358</v>
      </c>
      <c r="O179" s="21">
        <f>IF(D179="a",K179/25000,IF(D179="b",K179/15000,IF(D179="c",K179/5000)))/H179</f>
        <v>0.97419999999999995</v>
      </c>
    </row>
    <row r="180" spans="2:15" x14ac:dyDescent="0.3">
      <c r="B180" s="104" t="s">
        <v>205</v>
      </c>
      <c r="C180" s="105" t="s">
        <v>2</v>
      </c>
      <c r="D180" s="105" t="s">
        <v>3</v>
      </c>
      <c r="E180" s="106">
        <v>45758</v>
      </c>
      <c r="F180" s="107">
        <v>4</v>
      </c>
      <c r="G180" s="106"/>
      <c r="H180" s="108">
        <v>1</v>
      </c>
      <c r="I180" s="109">
        <v>907402.62000000058</v>
      </c>
      <c r="J180" s="109">
        <v>2504</v>
      </c>
      <c r="K180" s="109">
        <v>2504</v>
      </c>
      <c r="L180" s="109">
        <v>933564.64999999991</v>
      </c>
      <c r="M180" s="109">
        <v>3000000</v>
      </c>
      <c r="N180" s="21">
        <f>IFERROR(L180/I180,"")</f>
        <v>1.0288317770120603</v>
      </c>
      <c r="O180" s="21">
        <f>IF(D180="a",K180/25000,IF(D180="b",K180/15000,IF(D180="c",K180/5000)))/H180</f>
        <v>0.50080000000000002</v>
      </c>
    </row>
    <row r="181" spans="2:15" x14ac:dyDescent="0.3">
      <c r="B181" s="104" t="s">
        <v>393</v>
      </c>
      <c r="C181" s="105" t="s">
        <v>2</v>
      </c>
      <c r="D181" s="105" t="s">
        <v>3</v>
      </c>
      <c r="E181" s="106">
        <v>45922</v>
      </c>
      <c r="F181" s="107">
        <v>9</v>
      </c>
      <c r="G181" s="106"/>
      <c r="H181" s="108">
        <v>1</v>
      </c>
      <c r="I181" s="109">
        <v>140721.46</v>
      </c>
      <c r="J181" s="109">
        <v>407</v>
      </c>
      <c r="K181" s="109">
        <v>407</v>
      </c>
      <c r="L181" s="109">
        <v>160000</v>
      </c>
      <c r="M181" s="109">
        <v>3000000</v>
      </c>
      <c r="N181" s="21">
        <f>IFERROR(L181/I181,"")</f>
        <v>1.1369978679868729</v>
      </c>
      <c r="O181" s="21">
        <f>IF(D181="a",K181/25000,IF(D181="b",K181/15000,IF(D181="c",K181/5000)))/H181</f>
        <v>8.14E-2</v>
      </c>
    </row>
    <row r="182" spans="2:15" x14ac:dyDescent="0.3">
      <c r="B182" s="104" t="s">
        <v>167</v>
      </c>
      <c r="C182" s="105" t="s">
        <v>168</v>
      </c>
      <c r="D182" s="105" t="s">
        <v>3</v>
      </c>
      <c r="E182" s="106">
        <v>45750</v>
      </c>
      <c r="F182" s="107">
        <v>4</v>
      </c>
      <c r="G182" s="106"/>
      <c r="H182" s="108">
        <v>1</v>
      </c>
      <c r="I182" s="109">
        <v>1814738.9500000002</v>
      </c>
      <c r="J182" s="109">
        <v>5538</v>
      </c>
      <c r="K182" s="109">
        <v>5538</v>
      </c>
      <c r="L182" s="109">
        <v>1787429.16</v>
      </c>
      <c r="M182" s="109">
        <v>3900000</v>
      </c>
      <c r="N182" s="21">
        <f>IFERROR(L182/I182,"")</f>
        <v>0.98495111927806456</v>
      </c>
      <c r="O182" s="21">
        <f>IF(D182="a",K182/25000,IF(D182="b",K182/15000,IF(D182="c",K182/5000)))/H182</f>
        <v>1.1075999999999999</v>
      </c>
    </row>
    <row r="183" spans="2:15" x14ac:dyDescent="0.3">
      <c r="B183" s="104" t="s">
        <v>421</v>
      </c>
      <c r="C183" s="105" t="s">
        <v>2</v>
      </c>
      <c r="D183" s="105" t="s">
        <v>3</v>
      </c>
      <c r="E183" s="106">
        <v>46111</v>
      </c>
      <c r="F183" s="107" t="s">
        <v>413</v>
      </c>
      <c r="G183" s="106"/>
      <c r="H183" s="108">
        <v>1</v>
      </c>
      <c r="I183" s="109">
        <v>123470.76999999999</v>
      </c>
      <c r="J183" s="109">
        <v>343</v>
      </c>
      <c r="K183" s="109">
        <v>343</v>
      </c>
      <c r="L183" s="109">
        <v>88874.55</v>
      </c>
      <c r="M183" s="109">
        <v>3000000</v>
      </c>
      <c r="N183" s="21">
        <f>IFERROR(L183/I183,"")</f>
        <v>0.7198023467416621</v>
      </c>
      <c r="O183" s="21">
        <f>IF(D183="a",K183/25000,IF(D183="b",K183/15000,IF(D183="c",K183/5000)))/H183</f>
        <v>6.8599999999999994E-2</v>
      </c>
    </row>
    <row r="184" spans="2:15" x14ac:dyDescent="0.3">
      <c r="B184" s="104" t="s">
        <v>197</v>
      </c>
      <c r="C184" s="105" t="s">
        <v>9</v>
      </c>
      <c r="D184" s="105" t="s">
        <v>3</v>
      </c>
      <c r="E184" s="106">
        <v>45748</v>
      </c>
      <c r="F184" s="107">
        <v>4</v>
      </c>
      <c r="G184" s="106"/>
      <c r="H184" s="108">
        <v>1</v>
      </c>
      <c r="I184" s="109">
        <v>1687244.069999998</v>
      </c>
      <c r="J184" s="109">
        <v>5352</v>
      </c>
      <c r="K184" s="109">
        <v>5023</v>
      </c>
      <c r="L184" s="109">
        <v>1469921.6099999999</v>
      </c>
      <c r="M184" s="109">
        <v>3000000</v>
      </c>
      <c r="N184" s="21">
        <f>IFERROR(L184/I184,"")</f>
        <v>0.87119678541824819</v>
      </c>
      <c r="O184" s="21">
        <f>IF(D184="a",K184/25000,IF(D184="b",K184/15000,IF(D184="c",K184/5000)))/H184</f>
        <v>1.0045999999999999</v>
      </c>
    </row>
    <row r="185" spans="2:15" x14ac:dyDescent="0.3">
      <c r="B185" s="104" t="s">
        <v>341</v>
      </c>
      <c r="C185" s="105" t="s">
        <v>9</v>
      </c>
      <c r="D185" s="105" t="s">
        <v>3</v>
      </c>
      <c r="E185" s="106">
        <v>45814</v>
      </c>
      <c r="F185" s="107">
        <v>6</v>
      </c>
      <c r="G185" s="106"/>
      <c r="H185" s="108">
        <v>1</v>
      </c>
      <c r="I185" s="109">
        <v>32477.919999999998</v>
      </c>
      <c r="J185" s="109">
        <v>94</v>
      </c>
      <c r="K185" s="109">
        <v>94</v>
      </c>
      <c r="L185" s="109">
        <v>36705.86</v>
      </c>
      <c r="M185" s="109">
        <v>3000000</v>
      </c>
      <c r="N185" s="21">
        <f>IFERROR(L185/I185,"")</f>
        <v>1.1301789030824634</v>
      </c>
      <c r="O185" s="21">
        <f>IF(D185="a",K185/25000,IF(D185="b",K185/15000,IF(D185="c",K185/5000)))/H185</f>
        <v>1.8800000000000001E-2</v>
      </c>
    </row>
    <row r="186" spans="2:15" x14ac:dyDescent="0.3">
      <c r="B186" s="104" t="s">
        <v>134</v>
      </c>
      <c r="C186" s="105" t="s">
        <v>9</v>
      </c>
      <c r="D186" s="105" t="s">
        <v>3</v>
      </c>
      <c r="E186" s="106">
        <v>45729</v>
      </c>
      <c r="F186" s="107">
        <v>3</v>
      </c>
      <c r="G186" s="106"/>
      <c r="H186" s="108">
        <v>1</v>
      </c>
      <c r="I186" s="109">
        <v>435437.88000000024</v>
      </c>
      <c r="J186" s="109">
        <v>1122</v>
      </c>
      <c r="K186" s="109">
        <v>1122</v>
      </c>
      <c r="L186" s="109">
        <v>496303.76000000007</v>
      </c>
      <c r="M186" s="109">
        <v>3000000</v>
      </c>
      <c r="N186" s="21">
        <f>IFERROR(L186/I186,"")</f>
        <v>1.1397808569158012</v>
      </c>
      <c r="O186" s="21">
        <f>IF(D186="a",K186/25000,IF(D186="b",K186/15000,IF(D186="c",K186/5000)))/H186</f>
        <v>0.22439999999999999</v>
      </c>
    </row>
    <row r="187" spans="2:15" x14ac:dyDescent="0.3">
      <c r="B187" s="104" t="s">
        <v>216</v>
      </c>
      <c r="C187" s="105" t="s">
        <v>9</v>
      </c>
      <c r="D187" s="105" t="s">
        <v>3</v>
      </c>
      <c r="E187" s="106">
        <v>45748</v>
      </c>
      <c r="F187" s="107">
        <v>4</v>
      </c>
      <c r="G187" s="106"/>
      <c r="H187" s="108">
        <v>1</v>
      </c>
      <c r="I187" s="109">
        <v>227325.6800000004</v>
      </c>
      <c r="J187" s="109">
        <v>619</v>
      </c>
      <c r="K187" s="109">
        <v>619</v>
      </c>
      <c r="L187" s="109">
        <v>256880.82</v>
      </c>
      <c r="M187" s="109">
        <v>3000000</v>
      </c>
      <c r="N187" s="21">
        <f>IFERROR(L187/I187,"")</f>
        <v>1.1300123241685653</v>
      </c>
      <c r="O187" s="21">
        <f>IF(D187="a",K187/25000,IF(D187="b",K187/15000,IF(D187="c",K187/5000)))/H187</f>
        <v>0.12379999999999999</v>
      </c>
    </row>
    <row r="188" spans="2:15" x14ac:dyDescent="0.3">
      <c r="B188" s="104" t="s">
        <v>230</v>
      </c>
      <c r="C188" s="105" t="s">
        <v>9</v>
      </c>
      <c r="D188" s="105" t="s">
        <v>3</v>
      </c>
      <c r="E188" s="106">
        <v>45806</v>
      </c>
      <c r="F188" s="107">
        <v>5</v>
      </c>
      <c r="G188" s="106"/>
      <c r="H188" s="108">
        <v>1</v>
      </c>
      <c r="I188" s="109">
        <v>2047827.3600000057</v>
      </c>
      <c r="J188" s="109">
        <v>6543</v>
      </c>
      <c r="K188" s="109">
        <v>5992</v>
      </c>
      <c r="L188" s="109">
        <v>2314044.63</v>
      </c>
      <c r="M188" s="109">
        <v>2314044.63</v>
      </c>
      <c r="N188" s="21">
        <f>IFERROR(L188/I188,"")</f>
        <v>1.1299998599491285</v>
      </c>
      <c r="O188" s="21">
        <f>IF(D188="a",K188/25000,IF(D188="b",K188/15000,IF(D188="c",K188/5000)))/H188</f>
        <v>1.1983999999999999</v>
      </c>
    </row>
    <row r="189" spans="2:15" x14ac:dyDescent="0.3">
      <c r="B189" s="104" t="s">
        <v>434</v>
      </c>
      <c r="C189" s="105" t="s">
        <v>9</v>
      </c>
      <c r="D189" s="105" t="s">
        <v>10</v>
      </c>
      <c r="E189" s="106">
        <v>46120</v>
      </c>
      <c r="F189" s="107" t="s">
        <v>508</v>
      </c>
      <c r="G189" s="106"/>
      <c r="H189" s="108">
        <v>1</v>
      </c>
      <c r="I189" s="109">
        <v>2837295.0599999987</v>
      </c>
      <c r="J189" s="109">
        <v>8780</v>
      </c>
      <c r="K189" s="109">
        <v>8672</v>
      </c>
      <c r="L189" s="109">
        <v>1846069.6</v>
      </c>
      <c r="M189" s="109">
        <v>9250000</v>
      </c>
      <c r="N189" s="21">
        <f>IFERROR(L189/I189,"")</f>
        <v>0.65064420899531017</v>
      </c>
      <c r="O189" s="21">
        <f>IF(D189="a",K189/25000,IF(D189="b",K189/15000,IF(D189="c",K189/5000)))/H189</f>
        <v>0.34688000000000002</v>
      </c>
    </row>
    <row r="190" spans="2:15" x14ac:dyDescent="0.3">
      <c r="B190" s="104" t="s">
        <v>93</v>
      </c>
      <c r="C190" s="105" t="s">
        <v>6</v>
      </c>
      <c r="D190" s="105" t="s">
        <v>10</v>
      </c>
      <c r="E190" s="106">
        <v>45744</v>
      </c>
      <c r="F190" s="107">
        <v>3</v>
      </c>
      <c r="G190" s="106"/>
      <c r="H190" s="108">
        <v>1</v>
      </c>
      <c r="I190" s="109">
        <v>11636782.849999968</v>
      </c>
      <c r="J190" s="109">
        <v>37678</v>
      </c>
      <c r="K190" s="109">
        <v>33777</v>
      </c>
      <c r="L190" s="109">
        <v>12276195.409999998</v>
      </c>
      <c r="M190" s="109">
        <v>15000000</v>
      </c>
      <c r="N190" s="21">
        <f>IFERROR(L190/I190,"")</f>
        <v>1.054947537325579</v>
      </c>
      <c r="O190" s="21">
        <f>IF(D190="a",K190/25000,IF(D190="b",K190/15000,IF(D190="c",K190/5000)))/H190</f>
        <v>1.3510800000000001</v>
      </c>
    </row>
    <row r="191" spans="2:15" x14ac:dyDescent="0.3">
      <c r="B191" s="104" t="s">
        <v>113</v>
      </c>
      <c r="C191" s="105" t="s">
        <v>6</v>
      </c>
      <c r="D191" s="105" t="s">
        <v>10</v>
      </c>
      <c r="E191" s="106">
        <v>45723</v>
      </c>
      <c r="F191" s="107">
        <v>3</v>
      </c>
      <c r="G191" s="106"/>
      <c r="H191" s="108">
        <v>1</v>
      </c>
      <c r="I191" s="109">
        <v>5485753.3900000146</v>
      </c>
      <c r="J191" s="109">
        <v>18027</v>
      </c>
      <c r="K191" s="109">
        <v>15703</v>
      </c>
      <c r="L191" s="109">
        <v>6043748.7400000002</v>
      </c>
      <c r="M191" s="109">
        <v>9000000</v>
      </c>
      <c r="N191" s="21">
        <f>IFERROR(L191/I191,"")</f>
        <v>1.101717177264504</v>
      </c>
      <c r="O191" s="21">
        <f>IF(D191="a",K191/25000,IF(D191="b",K191/15000,IF(D191="c",K191/5000)))/H191</f>
        <v>0.62812000000000001</v>
      </c>
    </row>
    <row r="192" spans="2:15" x14ac:dyDescent="0.3">
      <c r="B192" s="104" t="s">
        <v>228</v>
      </c>
      <c r="C192" s="105" t="s">
        <v>13</v>
      </c>
      <c r="D192" s="105" t="s">
        <v>3</v>
      </c>
      <c r="E192" s="106">
        <v>45806</v>
      </c>
      <c r="F192" s="107">
        <v>5</v>
      </c>
      <c r="G192" s="106"/>
      <c r="H192" s="108">
        <v>1</v>
      </c>
      <c r="I192" s="109">
        <v>2421905.1400000025</v>
      </c>
      <c r="J192" s="109">
        <v>7532</v>
      </c>
      <c r="K192" s="109">
        <v>7164</v>
      </c>
      <c r="L192" s="109">
        <v>2470708.36</v>
      </c>
      <c r="M192" s="109">
        <v>3076171.76</v>
      </c>
      <c r="N192" s="21">
        <f>IFERROR(L192/I192,"")</f>
        <v>1.0201507561935301</v>
      </c>
      <c r="O192" s="21">
        <f>IF(D192="a",K192/25000,IF(D192="b",K192/15000,IF(D192="c",K192/5000)))/H192</f>
        <v>1.4328000000000001</v>
      </c>
    </row>
    <row r="193" spans="1:15" x14ac:dyDescent="0.3">
      <c r="B193" s="104" t="s">
        <v>541</v>
      </c>
      <c r="C193" s="105" t="s">
        <v>13</v>
      </c>
      <c r="D193" s="105" t="s">
        <v>3</v>
      </c>
      <c r="E193" s="106">
        <v>46164</v>
      </c>
      <c r="F193" s="107" t="s">
        <v>526</v>
      </c>
      <c r="G193" s="106"/>
      <c r="H193" s="108">
        <v>1</v>
      </c>
      <c r="I193" s="109">
        <v>233911.41000000003</v>
      </c>
      <c r="J193" s="109">
        <v>746</v>
      </c>
      <c r="K193" s="109">
        <v>746</v>
      </c>
      <c r="L193" s="109">
        <v>0</v>
      </c>
      <c r="M193" s="109">
        <v>3000000</v>
      </c>
      <c r="N193" s="21">
        <f>IFERROR(L193/I193,"")</f>
        <v>0</v>
      </c>
      <c r="O193" s="21">
        <f>IF(D193="a",K193/25000,IF(D193="b",K193/15000,IF(D193="c",K193/5000)))/H193</f>
        <v>0.1492</v>
      </c>
    </row>
    <row r="194" spans="1:15" x14ac:dyDescent="0.3">
      <c r="B194" s="104" t="s">
        <v>117</v>
      </c>
      <c r="C194" s="105" t="s">
        <v>13</v>
      </c>
      <c r="D194" s="105" t="s">
        <v>3</v>
      </c>
      <c r="E194" s="106">
        <v>45729</v>
      </c>
      <c r="F194" s="107">
        <v>3</v>
      </c>
      <c r="G194" s="106">
        <v>46459</v>
      </c>
      <c r="H194" s="108">
        <v>2</v>
      </c>
      <c r="I194" s="109">
        <v>2059231.9900000035</v>
      </c>
      <c r="J194" s="109">
        <v>6437</v>
      </c>
      <c r="K194" s="109">
        <v>5817</v>
      </c>
      <c r="L194" s="109">
        <v>2297350.91</v>
      </c>
      <c r="M194" s="109">
        <v>3000000</v>
      </c>
      <c r="N194" s="21">
        <f>IFERROR(L194/I194,"")</f>
        <v>1.1156348197562704</v>
      </c>
      <c r="O194" s="21">
        <f>IF(D194="a",K194/25000,IF(D194="b",K194/15000,IF(D194="c",K194/5000)))/H194</f>
        <v>0.58169999999999999</v>
      </c>
    </row>
    <row r="195" spans="1:15" x14ac:dyDescent="0.3">
      <c r="B195" s="104" t="s">
        <v>83</v>
      </c>
      <c r="C195" s="105" t="s">
        <v>2</v>
      </c>
      <c r="D195" s="105" t="s">
        <v>17</v>
      </c>
      <c r="E195" s="106">
        <v>45729</v>
      </c>
      <c r="F195" s="107">
        <v>3</v>
      </c>
      <c r="G195" s="106"/>
      <c r="H195" s="108">
        <v>1</v>
      </c>
      <c r="I195" s="109">
        <v>5079403.8499999968</v>
      </c>
      <c r="J195" s="109">
        <v>16512</v>
      </c>
      <c r="K195" s="109">
        <v>15019</v>
      </c>
      <c r="L195" s="109">
        <v>4555297.18</v>
      </c>
      <c r="M195" s="109">
        <v>6000000</v>
      </c>
      <c r="N195" s="21">
        <f>IFERROR(L195/I195,"")</f>
        <v>0.89681728693417484</v>
      </c>
      <c r="O195" s="21">
        <f>IF(D195="a",K195/25000,IF(D195="b",K195/15000,IF(D195="c",K195/5000)))/H195</f>
        <v>1.0012666666666667</v>
      </c>
    </row>
    <row r="196" spans="1:15" x14ac:dyDescent="0.3">
      <c r="B196" s="104" t="s">
        <v>67</v>
      </c>
      <c r="C196" s="105" t="s">
        <v>2</v>
      </c>
      <c r="D196" s="105" t="s">
        <v>17</v>
      </c>
      <c r="E196" s="106">
        <v>45734</v>
      </c>
      <c r="F196" s="107">
        <v>3</v>
      </c>
      <c r="G196" s="106"/>
      <c r="H196" s="108">
        <v>1</v>
      </c>
      <c r="I196" s="109">
        <v>5242492.379999999</v>
      </c>
      <c r="J196" s="109">
        <v>16832</v>
      </c>
      <c r="K196" s="109">
        <v>15071</v>
      </c>
      <c r="L196" s="109">
        <v>5926419.3200000022</v>
      </c>
      <c r="M196" s="109">
        <v>6600000</v>
      </c>
      <c r="N196" s="21">
        <f>IFERROR(L196/I196,"")</f>
        <v>1.1304583565269777</v>
      </c>
      <c r="O196" s="21">
        <f>IF(D196="a",K196/25000,IF(D196="b",K196/15000,IF(D196="c",K196/5000)))/H196</f>
        <v>1.0047333333333333</v>
      </c>
    </row>
    <row r="197" spans="1:15" x14ac:dyDescent="0.3">
      <c r="B197" s="104" t="s">
        <v>73</v>
      </c>
      <c r="C197" s="105" t="s">
        <v>2</v>
      </c>
      <c r="D197" s="105" t="s">
        <v>3</v>
      </c>
      <c r="E197" s="106">
        <v>45733</v>
      </c>
      <c r="F197" s="107">
        <v>3</v>
      </c>
      <c r="G197" s="106">
        <v>46361</v>
      </c>
      <c r="H197" s="108">
        <v>2</v>
      </c>
      <c r="I197" s="109">
        <v>2709731.9499999941</v>
      </c>
      <c r="J197" s="109">
        <v>8675</v>
      </c>
      <c r="K197" s="109">
        <v>7839</v>
      </c>
      <c r="L197" s="109">
        <v>3075292.4700000007</v>
      </c>
      <c r="M197" s="109">
        <v>3640000</v>
      </c>
      <c r="N197" s="21">
        <f>IFERROR(L197/I197,"")</f>
        <v>1.1349065246103061</v>
      </c>
      <c r="O197" s="21">
        <f>IF(D197="a",K197/25000,IF(D197="b",K197/15000,IF(D197="c",K197/5000)))/H197</f>
        <v>0.78390000000000004</v>
      </c>
    </row>
    <row r="198" spans="1:15" x14ac:dyDescent="0.3">
      <c r="B198" s="104" t="s">
        <v>288</v>
      </c>
      <c r="C198" s="105" t="s">
        <v>2</v>
      </c>
      <c r="D198" s="105" t="s">
        <v>3</v>
      </c>
      <c r="E198" s="106">
        <v>45792</v>
      </c>
      <c r="F198" s="107">
        <v>5</v>
      </c>
      <c r="G198" s="106"/>
      <c r="H198" s="108">
        <v>1</v>
      </c>
      <c r="I198" s="109">
        <v>305385.02000000025</v>
      </c>
      <c r="J198" s="109">
        <v>795</v>
      </c>
      <c r="K198" s="109">
        <v>794</v>
      </c>
      <c r="L198" s="109">
        <v>367549.03</v>
      </c>
      <c r="M198" s="109">
        <v>3000000</v>
      </c>
      <c r="N198" s="21">
        <f>IFERROR(L198/I198,"")</f>
        <v>1.2035594607751217</v>
      </c>
      <c r="O198" s="21">
        <f>IF(D198="a",K198/25000,IF(D198="b",K198/15000,IF(D198="c",K198/5000)))/H198</f>
        <v>0.1588</v>
      </c>
    </row>
    <row r="199" spans="1:15" x14ac:dyDescent="0.3">
      <c r="B199" s="104" t="s">
        <v>159</v>
      </c>
      <c r="C199" s="105" t="s">
        <v>2</v>
      </c>
      <c r="D199" s="105" t="s">
        <v>3</v>
      </c>
      <c r="E199" s="106">
        <v>45770</v>
      </c>
      <c r="F199" s="107">
        <v>4</v>
      </c>
      <c r="G199" s="106"/>
      <c r="H199" s="108">
        <v>1</v>
      </c>
      <c r="I199" s="109">
        <v>2326418.2599999998</v>
      </c>
      <c r="J199" s="109">
        <v>7397</v>
      </c>
      <c r="K199" s="109">
        <v>6666</v>
      </c>
      <c r="L199" s="109">
        <v>2637962.08</v>
      </c>
      <c r="M199" s="109">
        <v>3060000</v>
      </c>
      <c r="N199" s="21">
        <f>IFERROR(L199/I199,"")</f>
        <v>1.1339156528112879</v>
      </c>
      <c r="O199" s="21">
        <f>IF(D199="a",K199/25000,IF(D199="b",K199/15000,IF(D199="c",K199/5000)))/H199</f>
        <v>1.3331999999999999</v>
      </c>
    </row>
    <row r="200" spans="1:15" x14ac:dyDescent="0.3">
      <c r="B200" s="104" t="s">
        <v>331</v>
      </c>
      <c r="C200" s="105" t="s">
        <v>42</v>
      </c>
      <c r="D200" s="105" t="s">
        <v>3</v>
      </c>
      <c r="E200" s="106">
        <v>45832</v>
      </c>
      <c r="F200" s="107">
        <v>6</v>
      </c>
      <c r="G200" s="106"/>
      <c r="H200" s="108">
        <v>1</v>
      </c>
      <c r="I200" s="109">
        <v>459460.66000000009</v>
      </c>
      <c r="J200" s="109">
        <v>1316</v>
      </c>
      <c r="K200" s="109">
        <v>1296</v>
      </c>
      <c r="L200" s="109">
        <v>481372.80000000005</v>
      </c>
      <c r="M200" s="109">
        <v>3000000</v>
      </c>
      <c r="N200" s="21">
        <f>IFERROR(L200/I200,"")</f>
        <v>1.0476910036215068</v>
      </c>
      <c r="O200" s="21">
        <f>IF(D200="a",K200/25000,IF(D200="b",K200/15000,IF(D200="c",K200/5000)))/H200</f>
        <v>0.25919999999999999</v>
      </c>
    </row>
    <row r="201" spans="1:15" x14ac:dyDescent="0.3">
      <c r="A201" s="25"/>
      <c r="B201" s="104" t="s">
        <v>211</v>
      </c>
      <c r="C201" s="105" t="s">
        <v>36</v>
      </c>
      <c r="D201" s="105" t="s">
        <v>3</v>
      </c>
      <c r="E201" s="106">
        <v>45777</v>
      </c>
      <c r="F201" s="107">
        <v>4</v>
      </c>
      <c r="G201" s="106"/>
      <c r="H201" s="108">
        <v>1</v>
      </c>
      <c r="I201" s="109">
        <v>612319.02000000014</v>
      </c>
      <c r="J201" s="109">
        <v>1798</v>
      </c>
      <c r="K201" s="109">
        <v>1798</v>
      </c>
      <c r="L201" s="109">
        <v>681075.64999999991</v>
      </c>
      <c r="M201" s="109">
        <v>3500000</v>
      </c>
      <c r="N201" s="21">
        <f>IFERROR(L201/I201,"")</f>
        <v>1.1122889012985417</v>
      </c>
      <c r="O201" s="21">
        <f>IF(D201="a",K201/25000,IF(D201="b",K201/15000,IF(D201="c",K201/5000)))/H201</f>
        <v>0.35959999999999998</v>
      </c>
    </row>
    <row r="202" spans="1:15" x14ac:dyDescent="0.3">
      <c r="B202" s="104" t="s">
        <v>207</v>
      </c>
      <c r="C202" s="105" t="s">
        <v>36</v>
      </c>
      <c r="D202" s="105" t="s">
        <v>3</v>
      </c>
      <c r="E202" s="106">
        <v>45770</v>
      </c>
      <c r="F202" s="107">
        <v>4</v>
      </c>
      <c r="G202" s="106"/>
      <c r="H202" s="108">
        <v>1</v>
      </c>
      <c r="I202" s="109">
        <v>761770.31</v>
      </c>
      <c r="J202" s="109">
        <v>2315</v>
      </c>
      <c r="K202" s="109">
        <v>2314</v>
      </c>
      <c r="L202" s="109">
        <v>820833.0299999998</v>
      </c>
      <c r="M202" s="109">
        <v>2920000</v>
      </c>
      <c r="N202" s="21">
        <f>IFERROR(L202/I202,"")</f>
        <v>1.077533502191756</v>
      </c>
      <c r="O202" s="21">
        <f>IF(D202="a",K202/25000,IF(D202="b",K202/15000,IF(D202="c",K202/5000)))/H202</f>
        <v>0.46279999999999999</v>
      </c>
    </row>
    <row r="203" spans="1:15" x14ac:dyDescent="0.3">
      <c r="B203" s="104" t="s">
        <v>512</v>
      </c>
      <c r="C203" s="105" t="s">
        <v>36</v>
      </c>
      <c r="D203" s="105" t="s">
        <v>17</v>
      </c>
      <c r="E203" s="106">
        <v>45789</v>
      </c>
      <c r="F203" s="107">
        <v>5</v>
      </c>
      <c r="G203" s="106"/>
      <c r="H203" s="108">
        <v>1</v>
      </c>
      <c r="I203" s="109">
        <v>3635070.2400000049</v>
      </c>
      <c r="J203" s="109">
        <v>12510</v>
      </c>
      <c r="K203" s="109">
        <v>10247</v>
      </c>
      <c r="L203" s="109">
        <v>4090516.0700000003</v>
      </c>
      <c r="M203" s="109">
        <v>6000000</v>
      </c>
      <c r="N203" s="21">
        <f>IFERROR(L203/I203,"")</f>
        <v>1.1252921676693639</v>
      </c>
      <c r="O203" s="21">
        <f>IF(D203="a",K203/25000,IF(D203="b",K203/15000,IF(D203="c",K203/5000)))/H203</f>
        <v>0.68313333333333337</v>
      </c>
    </row>
    <row r="204" spans="1:15" x14ac:dyDescent="0.3">
      <c r="B204" s="104" t="s">
        <v>97</v>
      </c>
      <c r="C204" s="105" t="s">
        <v>36</v>
      </c>
      <c r="D204" s="105" t="s">
        <v>10</v>
      </c>
      <c r="E204" s="106">
        <v>45733</v>
      </c>
      <c r="F204" s="107">
        <v>3</v>
      </c>
      <c r="G204" s="106"/>
      <c r="H204" s="108">
        <v>1</v>
      </c>
      <c r="I204" s="109">
        <v>5602788.870000015</v>
      </c>
      <c r="J204" s="109">
        <v>18571</v>
      </c>
      <c r="K204" s="109">
        <v>16437</v>
      </c>
      <c r="L204" s="109">
        <v>4786320.8099999996</v>
      </c>
      <c r="M204" s="109">
        <v>9000000</v>
      </c>
      <c r="N204" s="21">
        <f>IFERROR(L204/I204,"")</f>
        <v>0.8542747051612507</v>
      </c>
      <c r="O204" s="21">
        <f>IF(D204="a",K204/25000,IF(D204="b",K204/15000,IF(D204="c",K204/5000)))/H204</f>
        <v>0.65747999999999995</v>
      </c>
    </row>
    <row r="205" spans="1:15" x14ac:dyDescent="0.3">
      <c r="B205" s="104" t="s">
        <v>385</v>
      </c>
      <c r="C205" s="105" t="s">
        <v>386</v>
      </c>
      <c r="D205" s="105" t="s">
        <v>3</v>
      </c>
      <c r="E205" s="106">
        <v>45915</v>
      </c>
      <c r="F205" s="107">
        <v>9</v>
      </c>
      <c r="G205" s="106"/>
      <c r="H205" s="108">
        <v>1</v>
      </c>
      <c r="I205" s="109">
        <v>1802839.2999999984</v>
      </c>
      <c r="J205" s="109">
        <v>5228</v>
      </c>
      <c r="K205" s="109">
        <v>4773</v>
      </c>
      <c r="L205" s="109">
        <v>1976604.9499999997</v>
      </c>
      <c r="M205" s="109">
        <v>3000000</v>
      </c>
      <c r="N205" s="21">
        <f>IFERROR(L205/I205,"")</f>
        <v>1.0963844364830528</v>
      </c>
      <c r="O205" s="21">
        <f>IF(D205="a",K205/25000,IF(D205="b",K205/15000,IF(D205="c",K205/5000)))/H205</f>
        <v>0.9546</v>
      </c>
    </row>
    <row r="206" spans="1:15" x14ac:dyDescent="0.3">
      <c r="B206" s="104" t="s">
        <v>242</v>
      </c>
      <c r="C206" s="105" t="s">
        <v>131</v>
      </c>
      <c r="D206" s="105" t="s">
        <v>3</v>
      </c>
      <c r="E206" s="106">
        <v>45792</v>
      </c>
      <c r="F206" s="107">
        <v>5</v>
      </c>
      <c r="G206" s="106"/>
      <c r="H206" s="108">
        <v>1</v>
      </c>
      <c r="I206" s="109">
        <v>1782270.3300000047</v>
      </c>
      <c r="J206" s="109">
        <v>5662</v>
      </c>
      <c r="K206" s="109">
        <v>5076</v>
      </c>
      <c r="L206" s="109">
        <v>2012848.8</v>
      </c>
      <c r="M206" s="109">
        <v>2012848.8</v>
      </c>
      <c r="N206" s="21">
        <f>IFERROR(L206/I206,"")</f>
        <v>1.1293734548114229</v>
      </c>
      <c r="O206" s="21">
        <f>IF(D206="a",K206/25000,IF(D206="b",K206/15000,IF(D206="c",K206/5000)))/H206</f>
        <v>1.0152000000000001</v>
      </c>
    </row>
    <row r="207" spans="1:15" x14ac:dyDescent="0.3">
      <c r="B207" s="104" t="s">
        <v>414</v>
      </c>
      <c r="C207" s="105" t="s">
        <v>131</v>
      </c>
      <c r="D207" s="105" t="s">
        <v>10</v>
      </c>
      <c r="E207" s="106">
        <v>46092</v>
      </c>
      <c r="F207" s="107" t="s">
        <v>413</v>
      </c>
      <c r="G207" s="106"/>
      <c r="H207" s="108">
        <v>1</v>
      </c>
      <c r="I207" s="109">
        <v>3962092.3299999936</v>
      </c>
      <c r="J207" s="109">
        <v>12274</v>
      </c>
      <c r="K207" s="109">
        <v>12103</v>
      </c>
      <c r="L207" s="109">
        <v>2868223.21</v>
      </c>
      <c r="M207" s="109">
        <v>9250000</v>
      </c>
      <c r="N207" s="21">
        <f>IFERROR(L207/I207,"")</f>
        <v>0.723916297528585</v>
      </c>
      <c r="O207" s="21">
        <f>IF(D207="a",K207/25000,IF(D207="b",K207/15000,IF(D207="c",K207/5000)))/H207</f>
        <v>0.48411999999999999</v>
      </c>
    </row>
    <row r="208" spans="1:15" x14ac:dyDescent="0.3">
      <c r="B208" s="104" t="s">
        <v>308</v>
      </c>
      <c r="C208" s="105" t="s">
        <v>131</v>
      </c>
      <c r="D208" s="105" t="s">
        <v>3</v>
      </c>
      <c r="E208" s="106">
        <v>45833</v>
      </c>
      <c r="F208" s="107">
        <v>6</v>
      </c>
      <c r="G208" s="106"/>
      <c r="H208" s="108">
        <v>1</v>
      </c>
      <c r="I208" s="109">
        <v>1806744.7900000003</v>
      </c>
      <c r="J208" s="109">
        <v>4587</v>
      </c>
      <c r="K208" s="109">
        <v>4587</v>
      </c>
      <c r="L208" s="109">
        <v>1977098.05</v>
      </c>
      <c r="M208" s="109">
        <v>3300000</v>
      </c>
      <c r="N208" s="21">
        <f>IFERROR(L208/I208,"")</f>
        <v>1.0942873951777106</v>
      </c>
      <c r="O208" s="21">
        <f>IF(D208="a",K208/25000,IF(D208="b",K208/15000,IF(D208="c",K208/5000)))/H208</f>
        <v>0.91739999999999999</v>
      </c>
    </row>
    <row r="209" spans="2:15" x14ac:dyDescent="0.3">
      <c r="B209" s="104" t="s">
        <v>402</v>
      </c>
      <c r="C209" s="105" t="s">
        <v>386</v>
      </c>
      <c r="D209" s="105" t="s">
        <v>3</v>
      </c>
      <c r="E209" s="106">
        <v>45966</v>
      </c>
      <c r="F209" s="107">
        <v>11</v>
      </c>
      <c r="G209" s="106"/>
      <c r="H209" s="108">
        <v>1</v>
      </c>
      <c r="I209" s="109">
        <v>304795.80999999994</v>
      </c>
      <c r="J209" s="109">
        <v>747</v>
      </c>
      <c r="K209" s="109">
        <v>747</v>
      </c>
      <c r="L209" s="109">
        <v>50000</v>
      </c>
      <c r="M209" s="109">
        <v>1850000</v>
      </c>
      <c r="N209" s="21">
        <f>IFERROR(L209/I209,"")</f>
        <v>0.1640442498208883</v>
      </c>
      <c r="O209" s="21">
        <f>IF(D209="a",K209/25000,IF(D209="b",K209/15000,IF(D209="c",K209/5000)))/H209</f>
        <v>0.14940000000000001</v>
      </c>
    </row>
    <row r="210" spans="2:15" x14ac:dyDescent="0.3">
      <c r="B210" s="104" t="s">
        <v>26</v>
      </c>
      <c r="C210" s="105" t="s">
        <v>6</v>
      </c>
      <c r="D210" s="105" t="s">
        <v>10</v>
      </c>
      <c r="E210" s="106">
        <v>45707</v>
      </c>
      <c r="F210" s="107">
        <v>2</v>
      </c>
      <c r="G210" s="106">
        <v>46312</v>
      </c>
      <c r="H210" s="108">
        <v>2</v>
      </c>
      <c r="I210" s="109">
        <v>17359639.509999894</v>
      </c>
      <c r="J210" s="109">
        <v>58732</v>
      </c>
      <c r="K210" s="109">
        <v>48950</v>
      </c>
      <c r="L210" s="109">
        <v>18263127.77</v>
      </c>
      <c r="M210" s="109">
        <v>20250000</v>
      </c>
      <c r="N210" s="21">
        <f>IFERROR(L210/I210,"")</f>
        <v>1.0520453353584709</v>
      </c>
      <c r="O210" s="21">
        <f>IF(D210="a",K210/25000,IF(D210="b",K210/15000,IF(D210="c",K210/5000)))/H210</f>
        <v>0.97899999999999998</v>
      </c>
    </row>
    <row r="211" spans="2:15" x14ac:dyDescent="0.3">
      <c r="B211" s="104" t="s">
        <v>528</v>
      </c>
      <c r="C211" s="105" t="s">
        <v>13</v>
      </c>
      <c r="D211" s="105" t="s">
        <v>3</v>
      </c>
      <c r="E211" s="106">
        <v>46155</v>
      </c>
      <c r="F211" s="107" t="s">
        <v>526</v>
      </c>
      <c r="G211" s="106"/>
      <c r="H211" s="108">
        <v>1</v>
      </c>
      <c r="I211" s="109">
        <v>86290.55</v>
      </c>
      <c r="J211" s="109">
        <v>264</v>
      </c>
      <c r="K211" s="109">
        <v>264</v>
      </c>
      <c r="L211" s="109">
        <v>48122.96</v>
      </c>
      <c r="M211" s="109">
        <v>5400000</v>
      </c>
      <c r="N211" s="21">
        <f>IFERROR(L211/I211,"")</f>
        <v>0.55768516946525426</v>
      </c>
      <c r="O211" s="21">
        <f>IF(D211="a",K211/25000,IF(D211="b",K211/15000,IF(D211="c",K211/5000)))/H211</f>
        <v>5.28E-2</v>
      </c>
    </row>
    <row r="212" spans="2:15" x14ac:dyDescent="0.3">
      <c r="B212" s="104" t="s">
        <v>20</v>
      </c>
      <c r="C212" s="105" t="s">
        <v>6</v>
      </c>
      <c r="D212" s="105" t="s">
        <v>17</v>
      </c>
      <c r="E212" s="106">
        <v>45716</v>
      </c>
      <c r="F212" s="107">
        <v>2</v>
      </c>
      <c r="G212" s="106">
        <v>46498</v>
      </c>
      <c r="H212" s="108">
        <v>2</v>
      </c>
      <c r="I212" s="109">
        <v>5595179.0300000384</v>
      </c>
      <c r="J212" s="109">
        <v>16303</v>
      </c>
      <c r="K212" s="109">
        <v>15006</v>
      </c>
      <c r="L212" s="109">
        <v>6272921.9800000014</v>
      </c>
      <c r="M212" s="109">
        <v>8000000</v>
      </c>
      <c r="N212" s="21">
        <f>IFERROR(L212/I212,"")</f>
        <v>1.121129805921502</v>
      </c>
      <c r="O212" s="21">
        <f>IF(D212="a",K212/25000,IF(D212="b",K212/15000,IF(D212="c",K212/5000)))/H212</f>
        <v>0.50019999999999998</v>
      </c>
    </row>
    <row r="213" spans="2:15" x14ac:dyDescent="0.3">
      <c r="B213" s="104" t="s">
        <v>514</v>
      </c>
      <c r="C213" s="105" t="s">
        <v>530</v>
      </c>
      <c r="D213" s="105" t="s">
        <v>17</v>
      </c>
      <c r="E213" s="106">
        <v>46134</v>
      </c>
      <c r="F213" s="107" t="s">
        <v>508</v>
      </c>
      <c r="G213" s="106"/>
      <c r="H213" s="108">
        <v>1</v>
      </c>
      <c r="I213" s="109">
        <v>842751.47000000032</v>
      </c>
      <c r="J213" s="109">
        <v>2694</v>
      </c>
      <c r="K213" s="109">
        <v>2694</v>
      </c>
      <c r="L213" s="109">
        <v>225027.04</v>
      </c>
      <c r="M213" s="109">
        <v>7500000</v>
      </c>
      <c r="N213" s="21">
        <f>IFERROR(L213/I213,"")</f>
        <v>0.26701471075452399</v>
      </c>
      <c r="O213" s="21">
        <f>IF(D213="a",K213/25000,IF(D213="b",K213/15000,IF(D213="c",K213/5000)))/H213</f>
        <v>0.17960000000000001</v>
      </c>
    </row>
    <row r="214" spans="2:15" x14ac:dyDescent="0.3">
      <c r="B214" s="104" t="s">
        <v>284</v>
      </c>
      <c r="C214" s="105" t="s">
        <v>9</v>
      </c>
      <c r="D214" s="105" t="s">
        <v>3</v>
      </c>
      <c r="E214" s="106">
        <v>45791</v>
      </c>
      <c r="F214" s="107">
        <v>5</v>
      </c>
      <c r="G214" s="106"/>
      <c r="H214" s="108">
        <v>1</v>
      </c>
      <c r="I214" s="109">
        <v>397739.17999999964</v>
      </c>
      <c r="J214" s="109">
        <v>1200</v>
      </c>
      <c r="K214" s="109">
        <v>1194</v>
      </c>
      <c r="L214" s="109">
        <v>450130.05999999994</v>
      </c>
      <c r="M214" s="109">
        <v>3000000</v>
      </c>
      <c r="N214" s="21">
        <f>IFERROR(L214/I214,"")</f>
        <v>1.1317216976210398</v>
      </c>
      <c r="O214" s="21">
        <f>IF(D214="a",K214/25000,IF(D214="b",K214/15000,IF(D214="c",K214/5000)))/H214</f>
        <v>0.23880000000000001</v>
      </c>
    </row>
    <row r="215" spans="2:15" x14ac:dyDescent="0.3">
      <c r="B215" s="104" t="s">
        <v>373</v>
      </c>
      <c r="C215" s="105" t="s">
        <v>42</v>
      </c>
      <c r="D215" s="105" t="s">
        <v>3</v>
      </c>
      <c r="E215" s="106">
        <v>45855</v>
      </c>
      <c r="F215" s="107">
        <v>7</v>
      </c>
      <c r="G215" s="106"/>
      <c r="H215" s="108">
        <v>1</v>
      </c>
      <c r="I215" s="109">
        <v>32489.35</v>
      </c>
      <c r="J215" s="109">
        <v>55</v>
      </c>
      <c r="K215" s="109">
        <v>55</v>
      </c>
      <c r="L215" s="109">
        <v>25460.52</v>
      </c>
      <c r="M215" s="109">
        <v>3000000</v>
      </c>
      <c r="N215" s="21">
        <f>IFERROR(L215/I215,"")</f>
        <v>0.78365741389101351</v>
      </c>
      <c r="O215" s="21">
        <f>IF(D215="a",K215/25000,IF(D215="b",K215/15000,IF(D215="c",K215/5000)))/H215</f>
        <v>1.0999999999999999E-2</v>
      </c>
    </row>
    <row r="216" spans="2:15" x14ac:dyDescent="0.3">
      <c r="B216" s="104" t="s">
        <v>276</v>
      </c>
      <c r="C216" s="105" t="s">
        <v>42</v>
      </c>
      <c r="D216" s="105" t="s">
        <v>3</v>
      </c>
      <c r="E216" s="106">
        <v>45785</v>
      </c>
      <c r="F216" s="107">
        <v>5</v>
      </c>
      <c r="G216" s="106"/>
      <c r="H216" s="108">
        <v>1</v>
      </c>
      <c r="I216" s="109">
        <v>561215.74999999988</v>
      </c>
      <c r="J216" s="109">
        <v>1740</v>
      </c>
      <c r="K216" s="109">
        <v>1740</v>
      </c>
      <c r="L216" s="109">
        <v>428196</v>
      </c>
      <c r="M216" s="109">
        <v>3000000</v>
      </c>
      <c r="N216" s="21">
        <f>IFERROR(L216/I216,"")</f>
        <v>0.76297929985036961</v>
      </c>
      <c r="O216" s="21">
        <f>IF(D216="a",K216/25000,IF(D216="b",K216/15000,IF(D216="c",K216/5000)))/H216</f>
        <v>0.34799999999999998</v>
      </c>
    </row>
    <row r="217" spans="2:15" x14ac:dyDescent="0.3">
      <c r="B217" s="104" t="s">
        <v>294</v>
      </c>
      <c r="C217" s="105" t="s">
        <v>42</v>
      </c>
      <c r="D217" s="105" t="s">
        <v>3</v>
      </c>
      <c r="E217" s="106">
        <v>45785</v>
      </c>
      <c r="F217" s="107">
        <v>5</v>
      </c>
      <c r="G217" s="106"/>
      <c r="H217" s="108">
        <v>1</v>
      </c>
      <c r="I217" s="109">
        <v>144681.01999999999</v>
      </c>
      <c r="J217" s="109">
        <v>456</v>
      </c>
      <c r="K217" s="109">
        <v>456</v>
      </c>
      <c r="L217" s="109">
        <v>20749.500000000004</v>
      </c>
      <c r="M217" s="109">
        <v>3000000</v>
      </c>
      <c r="N217" s="21">
        <f>IFERROR(L217/I217,"")</f>
        <v>0.14341549430602579</v>
      </c>
      <c r="O217" s="21">
        <f>IF(D217="a",K217/25000,IF(D217="b",K217/15000,IF(D217="c",K217/5000)))/H217</f>
        <v>9.1200000000000003E-2</v>
      </c>
    </row>
    <row r="218" spans="2:15" x14ac:dyDescent="0.3">
      <c r="B218" s="104" t="s">
        <v>368</v>
      </c>
      <c r="C218" s="105" t="s">
        <v>42</v>
      </c>
      <c r="D218" s="105" t="s">
        <v>3</v>
      </c>
      <c r="E218" s="106">
        <v>45849</v>
      </c>
      <c r="F218" s="107">
        <v>7</v>
      </c>
      <c r="G218" s="106"/>
      <c r="H218" s="108">
        <v>1</v>
      </c>
      <c r="I218" s="109">
        <v>359863.74000000011</v>
      </c>
      <c r="J218" s="109">
        <v>1051</v>
      </c>
      <c r="K218" s="109">
        <v>1046</v>
      </c>
      <c r="L218" s="109">
        <v>313694.96999999997</v>
      </c>
      <c r="M218" s="109">
        <v>3000000</v>
      </c>
      <c r="N218" s="21">
        <f>IFERROR(L218/I218,"")</f>
        <v>0.87170485695502375</v>
      </c>
      <c r="O218" s="21">
        <f>IF(D218="a",K218/25000,IF(D218="b",K218/15000,IF(D218="c",K218/5000)))/H218</f>
        <v>0.2092</v>
      </c>
    </row>
    <row r="219" spans="2:15" x14ac:dyDescent="0.3">
      <c r="B219" s="104" t="s">
        <v>384</v>
      </c>
      <c r="C219" s="105" t="s">
        <v>36</v>
      </c>
      <c r="D219" s="105" t="s">
        <v>3</v>
      </c>
      <c r="E219" s="106">
        <v>45916</v>
      </c>
      <c r="F219" s="107">
        <v>9</v>
      </c>
      <c r="G219" s="106"/>
      <c r="H219" s="108">
        <v>1</v>
      </c>
      <c r="I219" s="109">
        <v>1888502.0999999966</v>
      </c>
      <c r="J219" s="109">
        <v>5705</v>
      </c>
      <c r="K219" s="109">
        <v>5116</v>
      </c>
      <c r="L219" s="109">
        <v>2147179.36</v>
      </c>
      <c r="M219" s="109">
        <v>3000000</v>
      </c>
      <c r="N219" s="21">
        <f>IFERROR(L219/I219,"")</f>
        <v>1.1369748331230363</v>
      </c>
      <c r="O219" s="21">
        <f>IF(D219="a",K219/25000,IF(D219="b",K219/15000,IF(D219="c",K219/5000)))/H219</f>
        <v>1.0232000000000001</v>
      </c>
    </row>
    <row r="220" spans="2:15" x14ac:dyDescent="0.3">
      <c r="B220" s="104" t="s">
        <v>323</v>
      </c>
      <c r="C220" s="105" t="s">
        <v>42</v>
      </c>
      <c r="D220" s="105" t="s">
        <v>3</v>
      </c>
      <c r="E220" s="106">
        <v>45833</v>
      </c>
      <c r="F220" s="107">
        <v>6</v>
      </c>
      <c r="G220" s="106"/>
      <c r="H220" s="108">
        <v>1</v>
      </c>
      <c r="I220" s="109">
        <v>494030.93000000005</v>
      </c>
      <c r="J220" s="109">
        <v>1471</v>
      </c>
      <c r="K220" s="109">
        <v>1471</v>
      </c>
      <c r="L220" s="109">
        <v>530352.62</v>
      </c>
      <c r="M220" s="109">
        <v>3000000</v>
      </c>
      <c r="N220" s="21">
        <f>IFERROR(L220/I220,"")</f>
        <v>1.0735210850057504</v>
      </c>
      <c r="O220" s="21">
        <f>IF(D220="a",K220/25000,IF(D220="b",K220/15000,IF(D220="c",K220/5000)))/H220</f>
        <v>0.29420000000000002</v>
      </c>
    </row>
    <row r="221" spans="2:15" x14ac:dyDescent="0.3">
      <c r="B221" s="104" t="s">
        <v>141</v>
      </c>
      <c r="C221" s="105" t="s">
        <v>42</v>
      </c>
      <c r="D221" s="105" t="s">
        <v>3</v>
      </c>
      <c r="E221" s="106">
        <v>45740</v>
      </c>
      <c r="F221" s="107">
        <v>3</v>
      </c>
      <c r="G221" s="106"/>
      <c r="H221" s="108">
        <v>1</v>
      </c>
      <c r="I221" s="109">
        <v>21000.619999999817</v>
      </c>
      <c r="J221" s="109">
        <v>70</v>
      </c>
      <c r="K221" s="109">
        <v>70</v>
      </c>
      <c r="L221" s="109">
        <v>23730.9</v>
      </c>
      <c r="M221" s="109">
        <v>3000000</v>
      </c>
      <c r="N221" s="21">
        <f>IFERROR(L221/I221,"")</f>
        <v>1.1300094949577779</v>
      </c>
      <c r="O221" s="21">
        <f>IF(D221="a",K221/25000,IF(D221="b",K221/15000,IF(D221="c",K221/5000)))/H221</f>
        <v>1.4E-2</v>
      </c>
    </row>
    <row r="222" spans="2:15" x14ac:dyDescent="0.3">
      <c r="B222" s="104" t="s">
        <v>149</v>
      </c>
      <c r="C222" s="105" t="s">
        <v>9</v>
      </c>
      <c r="D222" s="105" t="s">
        <v>3</v>
      </c>
      <c r="E222" s="106">
        <v>45769</v>
      </c>
      <c r="F222" s="107">
        <v>4</v>
      </c>
      <c r="G222" s="106">
        <v>46505</v>
      </c>
      <c r="H222" s="108">
        <v>2</v>
      </c>
      <c r="I222" s="109">
        <v>2763351.1599999983</v>
      </c>
      <c r="J222" s="109">
        <v>8611</v>
      </c>
      <c r="K222" s="109">
        <v>7699</v>
      </c>
      <c r="L222" s="109">
        <v>3093767.56</v>
      </c>
      <c r="M222" s="109">
        <v>4000000</v>
      </c>
      <c r="N222" s="21">
        <f>IFERROR(L222/I222,"")</f>
        <v>1.1195709053495764</v>
      </c>
      <c r="O222" s="21">
        <f>IF(D222="a",K222/25000,IF(D222="b",K222/15000,IF(D222="c",K222/5000)))/H222</f>
        <v>0.76990000000000003</v>
      </c>
    </row>
    <row r="223" spans="2:15" x14ac:dyDescent="0.3">
      <c r="B223" s="104" t="s">
        <v>78</v>
      </c>
      <c r="C223" s="105" t="s">
        <v>2</v>
      </c>
      <c r="D223" s="105" t="s">
        <v>3</v>
      </c>
      <c r="E223" s="106">
        <v>45739</v>
      </c>
      <c r="F223" s="107">
        <v>3</v>
      </c>
      <c r="G223" s="106"/>
      <c r="H223" s="108">
        <v>1</v>
      </c>
      <c r="I223" s="109">
        <v>2045689.8499999994</v>
      </c>
      <c r="J223" s="109">
        <v>5407</v>
      </c>
      <c r="K223" s="109">
        <v>5010</v>
      </c>
      <c r="L223" s="109">
        <v>2115250.75</v>
      </c>
      <c r="M223" s="109">
        <v>3018000</v>
      </c>
      <c r="N223" s="21">
        <f>IFERROR(L223/I223,"")</f>
        <v>1.0340036394079977</v>
      </c>
      <c r="O223" s="21">
        <f>IF(D223="a",K223/25000,IF(D223="b",K223/15000,IF(D223="c",K223/5000)))/H223</f>
        <v>1.002</v>
      </c>
    </row>
    <row r="224" spans="2:15" x14ac:dyDescent="0.3">
      <c r="B224" s="104" t="s">
        <v>396</v>
      </c>
      <c r="C224" s="105" t="s">
        <v>386</v>
      </c>
      <c r="D224" s="105" t="s">
        <v>3</v>
      </c>
      <c r="E224" s="106">
        <v>45951</v>
      </c>
      <c r="F224" s="107">
        <v>10</v>
      </c>
      <c r="G224" s="106"/>
      <c r="H224" s="108">
        <v>1</v>
      </c>
      <c r="I224" s="109">
        <v>1167016.3299999998</v>
      </c>
      <c r="J224" s="109">
        <v>3498</v>
      </c>
      <c r="K224" s="109">
        <v>3158</v>
      </c>
      <c r="L224" s="109">
        <v>1289246.2200000002</v>
      </c>
      <c r="M224" s="109">
        <v>2500000</v>
      </c>
      <c r="N224" s="21">
        <f>IFERROR(L224/I224,"")</f>
        <v>1.1047370862411157</v>
      </c>
      <c r="O224" s="21">
        <f>IF(D224="a",K224/25000,IF(D224="b",K224/15000,IF(D224="c",K224/5000)))/H224</f>
        <v>0.63160000000000005</v>
      </c>
    </row>
    <row r="225" spans="2:15" x14ac:dyDescent="0.3">
      <c r="B225" s="104" t="s">
        <v>292</v>
      </c>
      <c r="C225" s="105" t="s">
        <v>9</v>
      </c>
      <c r="D225" s="105" t="s">
        <v>3</v>
      </c>
      <c r="E225" s="106">
        <v>45784</v>
      </c>
      <c r="F225" s="107">
        <v>5</v>
      </c>
      <c r="G225" s="106"/>
      <c r="H225" s="108">
        <v>1</v>
      </c>
      <c r="I225" s="109">
        <v>242304.70999999993</v>
      </c>
      <c r="J225" s="109">
        <v>695</v>
      </c>
      <c r="K225" s="109">
        <v>673</v>
      </c>
      <c r="L225" s="109">
        <v>273804.13</v>
      </c>
      <c r="M225" s="109">
        <v>3000000</v>
      </c>
      <c r="N225" s="21">
        <f>IFERROR(L225/I225,"")</f>
        <v>1.1299992063711848</v>
      </c>
      <c r="O225" s="21">
        <f>IF(D225="a",K225/25000,IF(D225="b",K225/15000,IF(D225="c",K225/5000)))/H225</f>
        <v>0.1346</v>
      </c>
    </row>
    <row r="226" spans="2:15" x14ac:dyDescent="0.3">
      <c r="B226" s="104" t="s">
        <v>353</v>
      </c>
      <c r="C226" s="105" t="s">
        <v>16</v>
      </c>
      <c r="D226" s="105" t="s">
        <v>3</v>
      </c>
      <c r="E226" s="106">
        <v>45854</v>
      </c>
      <c r="F226" s="107">
        <v>7</v>
      </c>
      <c r="G226" s="106"/>
      <c r="H226" s="108">
        <v>1</v>
      </c>
      <c r="I226" s="109">
        <v>1581520.5100000002</v>
      </c>
      <c r="J226" s="109">
        <v>4345</v>
      </c>
      <c r="K226" s="109">
        <v>4342</v>
      </c>
      <c r="L226" s="109">
        <v>1654962.9300000002</v>
      </c>
      <c r="M226" s="109">
        <v>2203119.31</v>
      </c>
      <c r="N226" s="21">
        <f>IFERROR(L226/I226,"")</f>
        <v>1.0464378549222861</v>
      </c>
      <c r="O226" s="21">
        <f>IF(D226="a",K226/25000,IF(D226="b",K226/15000,IF(D226="c",K226/5000)))/H226</f>
        <v>0.86839999999999995</v>
      </c>
    </row>
    <row r="227" spans="2:15" x14ac:dyDescent="0.3">
      <c r="B227" s="104" t="s">
        <v>301</v>
      </c>
      <c r="C227" s="105" t="s">
        <v>16</v>
      </c>
      <c r="D227" s="105" t="s">
        <v>3</v>
      </c>
      <c r="E227" s="106">
        <v>45828</v>
      </c>
      <c r="F227" s="107">
        <v>6</v>
      </c>
      <c r="G227" s="106"/>
      <c r="H227" s="108">
        <v>1</v>
      </c>
      <c r="I227" s="109">
        <v>2099929.5600000015</v>
      </c>
      <c r="J227" s="109">
        <v>6677</v>
      </c>
      <c r="K227" s="109">
        <v>6080</v>
      </c>
      <c r="L227" s="109">
        <v>2249238.54</v>
      </c>
      <c r="M227" s="109">
        <v>3000000</v>
      </c>
      <c r="N227" s="21">
        <f>IFERROR(L227/I227,"")</f>
        <v>1.0711018992465626</v>
      </c>
      <c r="O227" s="21">
        <f>IF(D227="a",K227/25000,IF(D227="b",K227/15000,IF(D227="c",K227/5000)))/H227</f>
        <v>1.216</v>
      </c>
    </row>
    <row r="228" spans="2:15" x14ac:dyDescent="0.3">
      <c r="B228" s="104" t="s">
        <v>346</v>
      </c>
      <c r="C228" s="105" t="s">
        <v>16</v>
      </c>
      <c r="D228" s="105" t="s">
        <v>3</v>
      </c>
      <c r="E228" s="106">
        <v>45842</v>
      </c>
      <c r="F228" s="107">
        <v>7</v>
      </c>
      <c r="G228" s="106"/>
      <c r="H228" s="108">
        <v>1</v>
      </c>
      <c r="I228" s="109">
        <v>1800301.8499999989</v>
      </c>
      <c r="J228" s="109">
        <v>5581</v>
      </c>
      <c r="K228" s="109">
        <v>5002</v>
      </c>
      <c r="L228" s="109">
        <v>2030904.9100000001</v>
      </c>
      <c r="M228" s="109">
        <v>3084760.13</v>
      </c>
      <c r="N228" s="21">
        <f>IFERROR(L228/I228,"")</f>
        <v>1.1280913309065372</v>
      </c>
      <c r="O228" s="21">
        <f>IF(D228="a",K228/25000,IF(D228="b",K228/15000,IF(D228="c",K228/5000)))/H228</f>
        <v>1.0004</v>
      </c>
    </row>
    <row r="229" spans="2:15" x14ac:dyDescent="0.3">
      <c r="B229" s="104" t="s">
        <v>264</v>
      </c>
      <c r="C229" s="105" t="s">
        <v>9</v>
      </c>
      <c r="D229" s="105" t="s">
        <v>3</v>
      </c>
      <c r="E229" s="106">
        <v>45797</v>
      </c>
      <c r="F229" s="107">
        <v>5</v>
      </c>
      <c r="G229" s="106"/>
      <c r="H229" s="108">
        <v>1</v>
      </c>
      <c r="I229" s="109">
        <v>807616.40000000026</v>
      </c>
      <c r="J229" s="109">
        <v>2610</v>
      </c>
      <c r="K229" s="109">
        <v>2388</v>
      </c>
      <c r="L229" s="109">
        <v>912606.03</v>
      </c>
      <c r="M229" s="109">
        <v>3496939.38</v>
      </c>
      <c r="N229" s="21">
        <f>IFERROR(L229/I229,"")</f>
        <v>1.1299993784177733</v>
      </c>
      <c r="O229" s="21">
        <f>IF(D229="a",K229/25000,IF(D229="b",K229/15000,IF(D229="c",K229/5000)))/H229</f>
        <v>0.47760000000000002</v>
      </c>
    </row>
    <row r="230" spans="2:15" x14ac:dyDescent="0.3">
      <c r="B230" s="104" t="s">
        <v>119</v>
      </c>
      <c r="C230" s="105" t="s">
        <v>86</v>
      </c>
      <c r="D230" s="105" t="s">
        <v>3</v>
      </c>
      <c r="E230" s="106">
        <v>45740</v>
      </c>
      <c r="F230" s="107">
        <v>3</v>
      </c>
      <c r="G230" s="106"/>
      <c r="H230" s="108">
        <v>1</v>
      </c>
      <c r="I230" s="109">
        <v>1046645.1700000012</v>
      </c>
      <c r="J230" s="109">
        <v>2631</v>
      </c>
      <c r="K230" s="109">
        <v>2629</v>
      </c>
      <c r="L230" s="109">
        <v>1148230.6000000001</v>
      </c>
      <c r="M230" s="109">
        <v>1705717.21</v>
      </c>
      <c r="N230" s="21">
        <f>IFERROR(L230/I230,"")</f>
        <v>1.0970581367131316</v>
      </c>
      <c r="O230" s="21">
        <f>IF(D230="a",K230/25000,IF(D230="b",K230/15000,IF(D230="c",K230/5000)))/H230</f>
        <v>0.52580000000000005</v>
      </c>
    </row>
    <row r="231" spans="2:15" x14ac:dyDescent="0.3">
      <c r="B231" s="104" t="s">
        <v>262</v>
      </c>
      <c r="C231" s="105" t="s">
        <v>530</v>
      </c>
      <c r="D231" s="105" t="s">
        <v>3</v>
      </c>
      <c r="E231" s="106">
        <v>45783</v>
      </c>
      <c r="F231" s="107">
        <v>5</v>
      </c>
      <c r="G231" s="106"/>
      <c r="H231" s="108">
        <v>1</v>
      </c>
      <c r="I231" s="109">
        <v>947932.73000000021</v>
      </c>
      <c r="J231" s="109">
        <v>2829</v>
      </c>
      <c r="K231" s="109">
        <v>2828</v>
      </c>
      <c r="L231" s="109">
        <v>1071528.4100000001</v>
      </c>
      <c r="M231" s="109">
        <v>3600000</v>
      </c>
      <c r="N231" s="21">
        <f>IFERROR(L231/I231,"")</f>
        <v>1.1303844419424149</v>
      </c>
      <c r="O231" s="21">
        <f>IF(D231="a",K231/25000,IF(D231="b",K231/15000,IF(D231="c",K231/5000)))/H231</f>
        <v>0.56559999999999999</v>
      </c>
    </row>
    <row r="232" spans="2:15" x14ac:dyDescent="0.3">
      <c r="B232" s="104" t="s">
        <v>381</v>
      </c>
      <c r="C232" s="105" t="s">
        <v>530</v>
      </c>
      <c r="D232" s="105" t="s">
        <v>3</v>
      </c>
      <c r="E232" s="106">
        <v>45895</v>
      </c>
      <c r="F232" s="107">
        <v>8</v>
      </c>
      <c r="G232" s="106"/>
      <c r="H232" s="108">
        <v>1</v>
      </c>
      <c r="I232" s="109">
        <v>486172.21</v>
      </c>
      <c r="J232" s="109">
        <v>1410</v>
      </c>
      <c r="K232" s="109">
        <v>1409</v>
      </c>
      <c r="L232" s="109">
        <v>558444.77</v>
      </c>
      <c r="M232" s="109">
        <v>3000000</v>
      </c>
      <c r="N232" s="21">
        <f>IFERROR(L232/I232,"")</f>
        <v>1.1486562960889928</v>
      </c>
      <c r="O232" s="21">
        <f>IF(D232="a",K232/25000,IF(D232="b",K232/15000,IF(D232="c",K232/5000)))/H232</f>
        <v>0.28179999999999999</v>
      </c>
    </row>
    <row r="233" spans="2:15" x14ac:dyDescent="0.3">
      <c r="B233" s="104" t="s">
        <v>194</v>
      </c>
      <c r="C233" s="105" t="s">
        <v>530</v>
      </c>
      <c r="D233" s="105" t="s">
        <v>3</v>
      </c>
      <c r="E233" s="106">
        <v>45748</v>
      </c>
      <c r="F233" s="107">
        <v>4</v>
      </c>
      <c r="G233" s="106">
        <v>46472</v>
      </c>
      <c r="H233" s="108">
        <v>2</v>
      </c>
      <c r="I233" s="109">
        <v>2863800.419999999</v>
      </c>
      <c r="J233" s="109">
        <v>8478</v>
      </c>
      <c r="K233" s="109">
        <v>7924</v>
      </c>
      <c r="L233" s="109">
        <v>3147845.03</v>
      </c>
      <c r="M233" s="109">
        <v>4556612.3599999994</v>
      </c>
      <c r="N233" s="21">
        <f>IFERROR(L233/I233,"")</f>
        <v>1.0991844990371225</v>
      </c>
      <c r="O233" s="21">
        <f>IF(D233="a",K233/25000,IF(D233="b",K233/15000,IF(D233="c",K233/5000)))/H233</f>
        <v>0.79239999999999999</v>
      </c>
    </row>
    <row r="234" spans="2:15" x14ac:dyDescent="0.3">
      <c r="B234" s="104" t="s">
        <v>165</v>
      </c>
      <c r="C234" s="105" t="s">
        <v>530</v>
      </c>
      <c r="D234" s="105" t="s">
        <v>3</v>
      </c>
      <c r="E234" s="106">
        <v>45775</v>
      </c>
      <c r="F234" s="107">
        <v>4</v>
      </c>
      <c r="G234" s="106">
        <v>46504</v>
      </c>
      <c r="H234" s="108">
        <v>2</v>
      </c>
      <c r="I234" s="109">
        <v>2662510.0800000005</v>
      </c>
      <c r="J234" s="109">
        <v>8415</v>
      </c>
      <c r="K234" s="109">
        <v>7850</v>
      </c>
      <c r="L234" s="109">
        <v>2809888.0299999993</v>
      </c>
      <c r="M234" s="109">
        <v>3500000</v>
      </c>
      <c r="N234" s="21">
        <f>IFERROR(L234/I234,"")</f>
        <v>1.0553530110954543</v>
      </c>
      <c r="O234" s="21">
        <f>IF(D234="a",K234/25000,IF(D234="b",K234/15000,IF(D234="c",K234/5000)))/H234</f>
        <v>0.78500000000000003</v>
      </c>
    </row>
    <row r="235" spans="2:15" x14ac:dyDescent="0.3">
      <c r="B235" s="104" t="s">
        <v>344</v>
      </c>
      <c r="C235" s="105" t="s">
        <v>530</v>
      </c>
      <c r="D235" s="105" t="s">
        <v>3</v>
      </c>
      <c r="E235" s="106">
        <v>45839</v>
      </c>
      <c r="F235" s="107">
        <v>7</v>
      </c>
      <c r="G235" s="106">
        <v>46569</v>
      </c>
      <c r="H235" s="108">
        <v>2</v>
      </c>
      <c r="I235" s="109">
        <v>2346236.2999999891</v>
      </c>
      <c r="J235" s="109">
        <v>6911</v>
      </c>
      <c r="K235" s="109">
        <v>6561</v>
      </c>
      <c r="L235" s="109">
        <v>2482098.9299999997</v>
      </c>
      <c r="M235" s="109">
        <v>5690770.3700000001</v>
      </c>
      <c r="N235" s="21">
        <f>IFERROR(L235/I235,"")</f>
        <v>1.0579066268815343</v>
      </c>
      <c r="O235" s="21">
        <f>IF(D235="a",K235/25000,IF(D235="b",K235/15000,IF(D235="c",K235/5000)))/H235</f>
        <v>0.65610000000000002</v>
      </c>
    </row>
    <row r="236" spans="2:15" x14ac:dyDescent="0.3">
      <c r="B236" s="104" t="s">
        <v>364</v>
      </c>
      <c r="C236" s="105" t="s">
        <v>168</v>
      </c>
      <c r="D236" s="105" t="s">
        <v>3</v>
      </c>
      <c r="E236" s="106">
        <v>45839</v>
      </c>
      <c r="F236" s="107">
        <v>7</v>
      </c>
      <c r="G236" s="106"/>
      <c r="H236" s="108">
        <v>1</v>
      </c>
      <c r="I236" s="109">
        <v>354168.37000000034</v>
      </c>
      <c r="J236" s="109">
        <v>1029</v>
      </c>
      <c r="K236" s="109">
        <v>1029</v>
      </c>
      <c r="L236" s="109">
        <v>405850.18</v>
      </c>
      <c r="M236" s="109">
        <v>3000000</v>
      </c>
      <c r="N236" s="21">
        <f>IFERROR(L236/I236,"")</f>
        <v>1.1459244087776659</v>
      </c>
      <c r="O236" s="21">
        <f>IF(D236="a",K236/25000,IF(D236="b",K236/15000,IF(D236="c",K236/5000)))/H236</f>
        <v>0.20580000000000001</v>
      </c>
    </row>
    <row r="237" spans="2:15" x14ac:dyDescent="0.3">
      <c r="B237" s="104" t="s">
        <v>272</v>
      </c>
      <c r="C237" s="105" t="s">
        <v>36</v>
      </c>
      <c r="D237" s="105" t="s">
        <v>3</v>
      </c>
      <c r="E237" s="106">
        <v>45799</v>
      </c>
      <c r="F237" s="107">
        <v>5</v>
      </c>
      <c r="G237" s="106"/>
      <c r="H237" s="108">
        <v>1</v>
      </c>
      <c r="I237" s="109">
        <v>674498.86000000115</v>
      </c>
      <c r="J237" s="109">
        <v>1938</v>
      </c>
      <c r="K237" s="109">
        <v>1938</v>
      </c>
      <c r="L237" s="109">
        <v>698934.2</v>
      </c>
      <c r="M237" s="109">
        <v>3250000</v>
      </c>
      <c r="N237" s="21">
        <f>IFERROR(L237/I237,"")</f>
        <v>1.0362273999988654</v>
      </c>
      <c r="O237" s="21">
        <f>IF(D237="a",K237/25000,IF(D237="b",K237/15000,IF(D237="c",K237/5000)))/H237</f>
        <v>0.3876</v>
      </c>
    </row>
    <row r="238" spans="2:15" x14ac:dyDescent="0.3">
      <c r="B238" s="104" t="s">
        <v>214</v>
      </c>
      <c r="C238" s="105" t="s">
        <v>36</v>
      </c>
      <c r="D238" s="105" t="s">
        <v>3</v>
      </c>
      <c r="E238" s="106">
        <v>45772</v>
      </c>
      <c r="F238" s="107">
        <v>4</v>
      </c>
      <c r="G238" s="106"/>
      <c r="H238" s="108">
        <v>1</v>
      </c>
      <c r="I238" s="109">
        <v>514951.00999999972</v>
      </c>
      <c r="J238" s="109">
        <v>1163</v>
      </c>
      <c r="K238" s="109">
        <v>1163</v>
      </c>
      <c r="L238" s="109">
        <v>575092.13</v>
      </c>
      <c r="M238" s="109">
        <v>3000000</v>
      </c>
      <c r="N238" s="21">
        <f>IFERROR(L238/I238,"")</f>
        <v>1.1167899835753314</v>
      </c>
      <c r="O238" s="21">
        <f>IF(D238="a",K238/25000,IF(D238="b",K238/15000,IF(D238="c",K238/5000)))/H238</f>
        <v>0.2326</v>
      </c>
    </row>
    <row r="239" spans="2:15" x14ac:dyDescent="0.3">
      <c r="B239" s="104" t="s">
        <v>5</v>
      </c>
      <c r="C239" s="105" t="s">
        <v>6</v>
      </c>
      <c r="D239" s="105" t="s">
        <v>3</v>
      </c>
      <c r="E239" s="106">
        <v>45709</v>
      </c>
      <c r="F239" s="107">
        <v>2</v>
      </c>
      <c r="G239" s="106"/>
      <c r="H239" s="108">
        <v>1</v>
      </c>
      <c r="I239" s="109">
        <v>3117653.7099999972</v>
      </c>
      <c r="J239" s="109">
        <v>9893</v>
      </c>
      <c r="K239" s="109">
        <v>8823</v>
      </c>
      <c r="L239" s="109">
        <v>3522947.6100000003</v>
      </c>
      <c r="M239" s="109">
        <v>3522947.61</v>
      </c>
      <c r="N239" s="21">
        <f>IFERROR(L239/I239,"")</f>
        <v>1.1299996528479115</v>
      </c>
      <c r="O239" s="21">
        <f>IF(D239="a",K239/25000,IF(D239="b",K239/15000,IF(D239="c",K239/5000)))/H239</f>
        <v>1.7645999999999999</v>
      </c>
    </row>
    <row r="240" spans="2:15" x14ac:dyDescent="0.3">
      <c r="B240" s="104" t="s">
        <v>408</v>
      </c>
      <c r="C240" s="105" t="s">
        <v>6</v>
      </c>
      <c r="D240" s="105" t="s">
        <v>10</v>
      </c>
      <c r="E240" s="106">
        <v>46043</v>
      </c>
      <c r="F240" s="107" t="s">
        <v>406</v>
      </c>
      <c r="G240" s="106"/>
      <c r="H240" s="108">
        <v>1</v>
      </c>
      <c r="I240" s="109">
        <v>3396756.3700000029</v>
      </c>
      <c r="J240" s="109">
        <v>12760</v>
      </c>
      <c r="K240" s="109">
        <v>10627</v>
      </c>
      <c r="L240" s="109">
        <v>3746556.73</v>
      </c>
      <c r="M240" s="109">
        <v>9250000</v>
      </c>
      <c r="N240" s="21">
        <f>IFERROR(L240/I240,"")</f>
        <v>1.102980703323152</v>
      </c>
      <c r="O240" s="21">
        <f>IF(D240="a",K240/25000,IF(D240="b",K240/15000,IF(D240="c",K240/5000)))/H240</f>
        <v>0.42508000000000001</v>
      </c>
    </row>
    <row r="241" spans="2:15" x14ac:dyDescent="0.3">
      <c r="B241" s="104" t="s">
        <v>8</v>
      </c>
      <c r="C241" s="105" t="s">
        <v>9</v>
      </c>
      <c r="D241" s="105" t="s">
        <v>10</v>
      </c>
      <c r="E241" s="106">
        <v>45712</v>
      </c>
      <c r="F241" s="107">
        <v>2</v>
      </c>
      <c r="G241" s="106">
        <v>46445</v>
      </c>
      <c r="H241" s="108">
        <v>2</v>
      </c>
      <c r="I241" s="109">
        <v>26269314.600000042</v>
      </c>
      <c r="J241" s="109">
        <v>90188</v>
      </c>
      <c r="K241" s="109">
        <v>74543</v>
      </c>
      <c r="L241" s="109">
        <v>28340801.070000008</v>
      </c>
      <c r="M241" s="109">
        <v>34730000</v>
      </c>
      <c r="N241" s="21">
        <f>IFERROR(L241/I241,"")</f>
        <v>1.078855748676441</v>
      </c>
      <c r="O241" s="21">
        <f>IF(D241="a",K241/25000,IF(D241="b",K241/15000,IF(D241="c",K241/5000)))/H241</f>
        <v>1.4908600000000001</v>
      </c>
    </row>
    <row r="242" spans="2:15" x14ac:dyDescent="0.3">
      <c r="B242" s="104" t="s">
        <v>107</v>
      </c>
      <c r="C242" s="105" t="s">
        <v>9</v>
      </c>
      <c r="D242" s="105" t="s">
        <v>10</v>
      </c>
      <c r="E242" s="106">
        <v>45719</v>
      </c>
      <c r="F242" s="107">
        <v>3</v>
      </c>
      <c r="G242" s="106">
        <v>46308</v>
      </c>
      <c r="H242" s="108">
        <v>2</v>
      </c>
      <c r="I242" s="109">
        <v>10791460.009999981</v>
      </c>
      <c r="J242" s="109">
        <v>34084</v>
      </c>
      <c r="K242" s="109">
        <v>29076</v>
      </c>
      <c r="L242" s="109">
        <v>11834464.859999999</v>
      </c>
      <c r="M242" s="109">
        <v>18250000</v>
      </c>
      <c r="N242" s="21">
        <f>IFERROR(L242/I242,"")</f>
        <v>1.0966509489015861</v>
      </c>
      <c r="O242" s="21">
        <f>IF(D242="a",K242/25000,IF(D242="b",K242/15000,IF(D242="c",K242/5000)))/H242</f>
        <v>0.58152000000000004</v>
      </c>
    </row>
    <row r="243" spans="2:15" x14ac:dyDescent="0.3">
      <c r="B243" s="104" t="s">
        <v>250</v>
      </c>
      <c r="C243" s="105" t="s">
        <v>6</v>
      </c>
      <c r="D243" s="105" t="s">
        <v>3</v>
      </c>
      <c r="E243" s="106">
        <v>45783</v>
      </c>
      <c r="F243" s="107">
        <v>5</v>
      </c>
      <c r="G243" s="106"/>
      <c r="H243" s="108">
        <v>1</v>
      </c>
      <c r="I243" s="109">
        <v>1605611.4199999992</v>
      </c>
      <c r="J243" s="109">
        <v>4637</v>
      </c>
      <c r="K243" s="109">
        <v>3894</v>
      </c>
      <c r="L243" s="109">
        <v>1814333.96</v>
      </c>
      <c r="M243" s="109">
        <v>3000000</v>
      </c>
      <c r="N243" s="21">
        <f>IFERROR(L243/I243,"")</f>
        <v>1.1299956747940925</v>
      </c>
      <c r="O243" s="21">
        <f>IF(D243="a",K243/25000,IF(D243="b",K243/15000,IF(D243="c",K243/5000)))/H243</f>
        <v>0.77880000000000005</v>
      </c>
    </row>
    <row r="244" spans="2:15" x14ac:dyDescent="0.3">
      <c r="B244" s="104" t="s">
        <v>416</v>
      </c>
      <c r="C244" s="105" t="s">
        <v>13</v>
      </c>
      <c r="D244" s="105" t="s">
        <v>17</v>
      </c>
      <c r="E244" s="106">
        <v>46107</v>
      </c>
      <c r="F244" s="107" t="s">
        <v>413</v>
      </c>
      <c r="G244" s="106"/>
      <c r="H244" s="108">
        <v>1</v>
      </c>
      <c r="I244" s="109">
        <v>828862.94</v>
      </c>
      <c r="J244" s="109">
        <v>2753</v>
      </c>
      <c r="K244" s="109">
        <v>2753</v>
      </c>
      <c r="L244" s="109">
        <v>427415.4</v>
      </c>
      <c r="M244" s="109">
        <v>5500000</v>
      </c>
      <c r="N244" s="21">
        <f>IFERROR(L244/I244,"")</f>
        <v>0.51566474910797688</v>
      </c>
      <c r="O244" s="21">
        <f>IF(D244="a",K244/25000,IF(D244="b",K244/15000,IF(D244="c",K244/5000)))/H244</f>
        <v>0.18353333333333333</v>
      </c>
    </row>
    <row r="245" spans="2:15" x14ac:dyDescent="0.3">
      <c r="B245" s="104" t="s">
        <v>371</v>
      </c>
      <c r="C245" s="105" t="s">
        <v>131</v>
      </c>
      <c r="D245" s="105" t="s">
        <v>3</v>
      </c>
      <c r="E245" s="106">
        <v>45852</v>
      </c>
      <c r="F245" s="107">
        <v>7</v>
      </c>
      <c r="G245" s="106"/>
      <c r="H245" s="108">
        <v>1</v>
      </c>
      <c r="I245" s="109">
        <v>94043.830000000031</v>
      </c>
      <c r="J245" s="109">
        <v>274</v>
      </c>
      <c r="K245" s="109">
        <v>263</v>
      </c>
      <c r="L245" s="109">
        <v>105868.7</v>
      </c>
      <c r="M245" s="109">
        <v>275608.7</v>
      </c>
      <c r="N245" s="21">
        <f>IFERROR(L245/I245,"")</f>
        <v>1.1257378607400397</v>
      </c>
      <c r="O245" s="21">
        <f>IF(D245="a",K245/25000,IF(D245="b",K245/15000,IF(D245="c",K245/5000)))/H245</f>
        <v>5.2600000000000001E-2</v>
      </c>
    </row>
    <row r="246" spans="2:15" x14ac:dyDescent="0.3">
      <c r="B246" s="104" t="s">
        <v>314</v>
      </c>
      <c r="C246" s="105" t="s">
        <v>168</v>
      </c>
      <c r="D246" s="105" t="s">
        <v>3</v>
      </c>
      <c r="E246" s="106">
        <v>45835</v>
      </c>
      <c r="F246" s="107">
        <v>6</v>
      </c>
      <c r="G246" s="106"/>
      <c r="H246" s="108">
        <v>1</v>
      </c>
      <c r="I246" s="109">
        <v>981450.67000000016</v>
      </c>
      <c r="J246" s="109">
        <v>2969</v>
      </c>
      <c r="K246" s="109">
        <v>2969</v>
      </c>
      <c r="L246" s="109">
        <v>1077356.5399999998</v>
      </c>
      <c r="M246" s="109">
        <v>1850000</v>
      </c>
      <c r="N246" s="21">
        <f>IFERROR(L246/I246,"")</f>
        <v>1.0977184823767043</v>
      </c>
      <c r="O246" s="21">
        <f>IF(D246="a",K246/25000,IF(D246="b",K246/15000,IF(D246="c",K246/5000)))/H246</f>
        <v>0.59379999999999999</v>
      </c>
    </row>
    <row r="247" spans="2:15" x14ac:dyDescent="0.3">
      <c r="B247" s="104" t="s">
        <v>389</v>
      </c>
      <c r="C247" s="105" t="s">
        <v>131</v>
      </c>
      <c r="D247" s="105" t="s">
        <v>3</v>
      </c>
      <c r="E247" s="106">
        <v>45926</v>
      </c>
      <c r="F247" s="107">
        <v>9</v>
      </c>
      <c r="G247" s="106"/>
      <c r="H247" s="108">
        <v>1</v>
      </c>
      <c r="I247" s="109">
        <v>832510.0399999998</v>
      </c>
      <c r="J247" s="109">
        <v>2424</v>
      </c>
      <c r="K247" s="109">
        <v>2187</v>
      </c>
      <c r="L247" s="109">
        <v>903999.58000000007</v>
      </c>
      <c r="M247" s="109">
        <v>3000000</v>
      </c>
      <c r="N247" s="21">
        <f>IFERROR(L247/I247,"")</f>
        <v>1.0858722856963987</v>
      </c>
      <c r="O247" s="21">
        <f>IF(D247="a",K247/25000,IF(D247="b",K247/15000,IF(D247="c",K247/5000)))/H247</f>
        <v>0.43740000000000001</v>
      </c>
    </row>
    <row r="248" spans="2:15" x14ac:dyDescent="0.3">
      <c r="B248" s="104" t="s">
        <v>224</v>
      </c>
      <c r="C248" s="105" t="s">
        <v>131</v>
      </c>
      <c r="D248" s="105" t="s">
        <v>3</v>
      </c>
      <c r="E248" s="106">
        <v>45763</v>
      </c>
      <c r="F248" s="107">
        <v>4</v>
      </c>
      <c r="G248" s="106"/>
      <c r="H248" s="108">
        <v>1</v>
      </c>
      <c r="I248" s="109">
        <v>17468.559999999998</v>
      </c>
      <c r="J248" s="109">
        <v>52</v>
      </c>
      <c r="K248" s="109">
        <v>52</v>
      </c>
      <c r="L248" s="109">
        <v>19739.559999999998</v>
      </c>
      <c r="M248" s="109">
        <v>1848700</v>
      </c>
      <c r="N248" s="21">
        <f>IFERROR(L248/I248,"")</f>
        <v>1.1300049918253137</v>
      </c>
      <c r="O248" s="21">
        <f>IF(D248="a",K248/25000,IF(D248="b",K248/15000,IF(D248="c",K248/5000)))/H248</f>
        <v>1.04E-2</v>
      </c>
    </row>
    <row r="249" spans="2:15" x14ac:dyDescent="0.3">
      <c r="B249" s="104" t="s">
        <v>290</v>
      </c>
      <c r="C249" s="105" t="s">
        <v>131</v>
      </c>
      <c r="D249" s="105" t="s">
        <v>3</v>
      </c>
      <c r="E249" s="106">
        <v>45806</v>
      </c>
      <c r="F249" s="107">
        <v>5</v>
      </c>
      <c r="G249" s="106"/>
      <c r="H249" s="108">
        <v>1</v>
      </c>
      <c r="I249" s="109">
        <v>272479.92000000086</v>
      </c>
      <c r="J249" s="109">
        <v>782</v>
      </c>
      <c r="K249" s="109">
        <v>782</v>
      </c>
      <c r="L249" s="109">
        <v>307902.21999999997</v>
      </c>
      <c r="M249" s="109">
        <v>1848700</v>
      </c>
      <c r="N249" s="21">
        <f>IFERROR(L249/I249,"")</f>
        <v>1.1299996711684259</v>
      </c>
      <c r="O249" s="21">
        <f>IF(D249="a",K249/25000,IF(D249="b",K249/15000,IF(D249="c",K249/5000)))/H249</f>
        <v>0.15640000000000001</v>
      </c>
    </row>
    <row r="250" spans="2:15" x14ac:dyDescent="0.3">
      <c r="B250" s="104" t="s">
        <v>411</v>
      </c>
      <c r="C250" s="105" t="s">
        <v>13</v>
      </c>
      <c r="D250" s="105" t="s">
        <v>3</v>
      </c>
      <c r="E250" s="106">
        <v>46079</v>
      </c>
      <c r="F250" s="107" t="s">
        <v>410</v>
      </c>
      <c r="G250" s="106"/>
      <c r="H250" s="108">
        <v>1</v>
      </c>
      <c r="I250" s="109">
        <v>153715.94999999998</v>
      </c>
      <c r="J250" s="109">
        <v>511</v>
      </c>
      <c r="K250" s="109">
        <v>511</v>
      </c>
      <c r="L250" s="109">
        <v>108774.39999999999</v>
      </c>
      <c r="M250" s="109">
        <v>3000000</v>
      </c>
      <c r="N250" s="21">
        <f>IFERROR(L250/I250,"")</f>
        <v>0.70763248706461501</v>
      </c>
      <c r="O250" s="21">
        <f>IF(D250="a",K250/25000,IF(D250="b",K250/15000,IF(D250="c",K250/5000)))/H250</f>
        <v>0.1022</v>
      </c>
    </row>
    <row r="251" spans="2:15" x14ac:dyDescent="0.3">
      <c r="B251" s="104" t="s">
        <v>274</v>
      </c>
      <c r="C251" s="105" t="s">
        <v>13</v>
      </c>
      <c r="D251" s="105" t="s">
        <v>3</v>
      </c>
      <c r="E251" s="106">
        <v>45806</v>
      </c>
      <c r="F251" s="107">
        <v>5</v>
      </c>
      <c r="G251" s="106"/>
      <c r="H251" s="108">
        <v>1</v>
      </c>
      <c r="I251" s="109">
        <v>644318.88999999966</v>
      </c>
      <c r="J251" s="109">
        <v>2023</v>
      </c>
      <c r="K251" s="109">
        <v>2023</v>
      </c>
      <c r="L251" s="109">
        <v>728915.25999999989</v>
      </c>
      <c r="M251" s="109">
        <v>3000000</v>
      </c>
      <c r="N251" s="21">
        <f>IFERROR(L251/I251,"")</f>
        <v>1.1312958091295449</v>
      </c>
      <c r="O251" s="21">
        <f>IF(D251="a",K251/25000,IF(D251="b",K251/15000,IF(D251="c",K251/5000)))/H251</f>
        <v>0.40460000000000002</v>
      </c>
    </row>
  </sheetData>
  <autoFilter ref="A3:O242" xr:uid="{405A6DC8-D308-4B8E-882C-1845AE328F93}">
    <sortState xmlns:xlrd2="http://schemas.microsoft.com/office/spreadsheetml/2017/richdata2" ref="A4:O238">
      <sortCondition ref="B3:B238"/>
    </sortState>
  </autoFilter>
  <mergeCells count="3">
    <mergeCell ref="B2:H2"/>
    <mergeCell ref="I2:M2"/>
    <mergeCell ref="N2:O2"/>
  </mergeCells>
  <phoneticPr fontId="3" type="noConversion"/>
  <conditionalFormatting sqref="B252:B1048576 B1:B3">
    <cfRule type="duplicateValues" dxfId="4" priority="14"/>
  </conditionalFormatting>
  <conditionalFormatting sqref="N1:O1 N2 N3:O3 N252:O104857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{55A3B577-A2ED-4DD3-84D4-E22F43CAD38C}</x14:id>
        </ext>
      </extLst>
    </cfRule>
  </conditionalFormatting>
  <conditionalFormatting sqref="N1:O1 N252:O1048576 N3:O3 N2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{1AA3320A-F086-4239-B672-487405E2FDCA}</x14:id>
        </ext>
      </extLst>
    </cfRule>
  </conditionalFormatting>
  <conditionalFormatting sqref="N252:O1048576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{996F31B9-838C-47B0-AA27-075ADCA62F18}</x14:id>
        </ext>
      </extLst>
    </cfRule>
  </conditionalFormatting>
  <conditionalFormatting sqref="B4:B251">
    <cfRule type="duplicateValues" dxfId="0" priority="1"/>
  </conditionalFormatting>
  <conditionalFormatting sqref="N4:O25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{3A0CB827-47C7-48E6-987B-320FE41877ED}</x14:id>
        </ext>
      </extLst>
    </cfRule>
  </conditionalFormatting>
  <conditionalFormatting sqref="N4:O251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{5AF5CE13-1E76-4520-962B-2612696906F5}</x14:id>
        </ext>
      </extLst>
    </cfRule>
  </conditionalFormatting>
  <pageMargins left="0.25" right="0.25" top="0.75" bottom="0.75" header="0.3" footer="0.3"/>
  <pageSetup paperSize="9" scale="56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3B577-A2ED-4DD3-84D4-E22F43CAD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N1:O1 N2 N3:O3 N252:O1048576</xm:sqref>
        </x14:conditionalFormatting>
        <x14:conditionalFormatting xmlns:xm="http://schemas.microsoft.com/office/excel/2006/main">
          <x14:cfRule type="dataBar" id="{1AA3320A-F086-4239-B672-487405E2F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N1:O1 N252:O1048576 N3:O3 N2</xm:sqref>
        </x14:conditionalFormatting>
        <x14:conditionalFormatting xmlns:xm="http://schemas.microsoft.com/office/excel/2006/main">
          <x14:cfRule type="dataBar" id="{996F31B9-838C-47B0-AA27-075ADCA62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N252:O1048576</xm:sqref>
        </x14:conditionalFormatting>
        <x14:conditionalFormatting xmlns:xm="http://schemas.microsoft.com/office/excel/2006/main">
          <x14:cfRule type="dataBar" id="{3A0CB827-47C7-48E6-987B-320FE4187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N4:O251</xm:sqref>
        </x14:conditionalFormatting>
        <x14:conditionalFormatting xmlns:xm="http://schemas.microsoft.com/office/excel/2006/main">
          <x14:cfRule type="dataBar" id="{5AF5CE13-1E76-4520-962B-2612696906F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N4:O251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98CA-07B8-469C-8272-21CF31E320C4}">
  <dimension ref="A1:P255"/>
  <sheetViews>
    <sheetView showGridLines="0" zoomScale="80" zoomScaleNormal="80" workbookViewId="0">
      <pane ySplit="4" topLeftCell="A161" activePane="bottomLeft" state="frozen"/>
      <selection pane="bottomLeft" activeCell="H177" sqref="H177"/>
    </sheetView>
  </sheetViews>
  <sheetFormatPr defaultRowHeight="16" x14ac:dyDescent="0.3"/>
  <cols>
    <col min="1" max="1" width="5" style="27" customWidth="1"/>
    <col min="2" max="2" width="26.1640625" style="42" customWidth="1"/>
    <col min="3" max="3" width="9.6640625" style="50" customWidth="1"/>
    <col min="4" max="4" width="25.58203125" style="43" customWidth="1"/>
    <col min="5" max="5" width="8.6640625" style="43" customWidth="1"/>
    <col min="6" max="6" width="9.83203125" style="44" customWidth="1"/>
    <col min="7" max="10" width="8.6640625" style="44" customWidth="1"/>
    <col min="11" max="11" width="8.6640625" style="43"/>
    <col min="12" max="12" width="8.6640625" style="51"/>
    <col min="13" max="13" width="8.6640625" style="27"/>
    <col min="14" max="14" width="7.6640625" style="27" customWidth="1"/>
    <col min="15" max="15" width="11.4140625" style="29" customWidth="1"/>
    <col min="16" max="16" width="14.33203125" style="27" customWidth="1"/>
    <col min="17" max="16384" width="8.6640625" style="27"/>
  </cols>
  <sheetData>
    <row r="1" spans="2:16" x14ac:dyDescent="0.3">
      <c r="B1" s="26" t="s">
        <v>423</v>
      </c>
      <c r="C1" s="27"/>
      <c r="D1" s="27"/>
      <c r="E1" s="27"/>
      <c r="F1" s="28"/>
      <c r="G1" s="28"/>
      <c r="H1" s="28"/>
      <c r="I1" s="28"/>
      <c r="J1" s="28">
        <v>486</v>
      </c>
      <c r="K1" s="27"/>
      <c r="L1" s="27"/>
    </row>
    <row r="2" spans="2:16" s="33" customFormat="1" ht="35" customHeight="1" x14ac:dyDescent="0.3">
      <c r="B2" s="55" t="s">
        <v>515</v>
      </c>
      <c r="C2" s="30" t="s">
        <v>424</v>
      </c>
      <c r="D2" s="31" t="s">
        <v>425</v>
      </c>
      <c r="E2" s="31" t="s">
        <v>426</v>
      </c>
      <c r="F2" s="32" t="s">
        <v>427</v>
      </c>
      <c r="G2" s="68" t="s">
        <v>517</v>
      </c>
      <c r="H2" s="69"/>
      <c r="I2" s="70" t="s">
        <v>519</v>
      </c>
      <c r="J2" s="71"/>
      <c r="K2" s="66" t="s">
        <v>518</v>
      </c>
      <c r="L2" s="67"/>
      <c r="M2" s="66" t="s">
        <v>428</v>
      </c>
      <c r="N2" s="67"/>
      <c r="O2" s="64" t="s">
        <v>520</v>
      </c>
      <c r="P2" s="64" t="s">
        <v>521</v>
      </c>
    </row>
    <row r="3" spans="2:16" s="33" customFormat="1" ht="16" customHeight="1" x14ac:dyDescent="0.3">
      <c r="B3" s="34"/>
      <c r="C3" s="35"/>
      <c r="D3" s="36"/>
      <c r="E3" s="36"/>
      <c r="F3" s="37"/>
      <c r="G3" s="38" t="s">
        <v>429</v>
      </c>
      <c r="H3" s="38" t="s">
        <v>430</v>
      </c>
      <c r="I3" s="38" t="s">
        <v>429</v>
      </c>
      <c r="J3" s="38" t="s">
        <v>430</v>
      </c>
      <c r="K3" s="39" t="s">
        <v>429</v>
      </c>
      <c r="L3" s="40" t="s">
        <v>430</v>
      </c>
      <c r="M3" s="39" t="s">
        <v>429</v>
      </c>
      <c r="N3" s="40" t="s">
        <v>430</v>
      </c>
      <c r="O3" s="65"/>
      <c r="P3" s="65"/>
    </row>
    <row r="4" spans="2:16" s="41" customFormat="1" x14ac:dyDescent="0.3">
      <c r="B4" s="72" t="s">
        <v>522</v>
      </c>
      <c r="C4" s="73"/>
      <c r="D4" s="74"/>
      <c r="E4" s="74"/>
      <c r="F4" s="75">
        <v>302</v>
      </c>
      <c r="G4" s="76">
        <v>1554</v>
      </c>
      <c r="H4" s="76">
        <v>1158</v>
      </c>
      <c r="I4" s="76">
        <v>789</v>
      </c>
      <c r="J4" s="76">
        <v>292</v>
      </c>
      <c r="K4" s="77">
        <v>1190</v>
      </c>
      <c r="L4" s="78">
        <v>866</v>
      </c>
      <c r="M4" s="79">
        <v>0.50772200772200771</v>
      </c>
      <c r="N4" s="79">
        <v>0.25215889464594127</v>
      </c>
      <c r="O4" s="80">
        <v>11840</v>
      </c>
      <c r="P4" s="80">
        <v>58440</v>
      </c>
    </row>
    <row r="5" spans="2:16" s="41" customFormat="1" ht="17" x14ac:dyDescent="0.3">
      <c r="B5" s="81" t="s">
        <v>523</v>
      </c>
      <c r="C5" s="82"/>
      <c r="D5" s="83">
        <v>10</v>
      </c>
      <c r="E5" s="84"/>
      <c r="F5" s="85"/>
      <c r="G5" s="86"/>
      <c r="H5" s="86"/>
      <c r="I5" s="85">
        <v>100</v>
      </c>
      <c r="J5" s="86"/>
      <c r="K5" s="87"/>
      <c r="L5" s="88"/>
      <c r="M5" s="89"/>
      <c r="N5" s="89"/>
      <c r="O5" s="90"/>
      <c r="P5" s="91"/>
    </row>
    <row r="6" spans="2:16" s="41" customFormat="1" x14ac:dyDescent="0.3">
      <c r="B6" s="81" t="s">
        <v>524</v>
      </c>
      <c r="C6" s="82"/>
      <c r="D6" s="84"/>
      <c r="E6" s="84"/>
      <c r="F6" s="85"/>
      <c r="G6" s="86"/>
      <c r="H6" s="86"/>
      <c r="I6" s="85">
        <v>325</v>
      </c>
      <c r="J6" s="86"/>
      <c r="K6" s="87"/>
      <c r="L6" s="88"/>
      <c r="M6" s="89"/>
      <c r="N6" s="89"/>
      <c r="O6" s="90"/>
      <c r="P6" s="91"/>
    </row>
    <row r="7" spans="2:16" ht="14" customHeight="1" x14ac:dyDescent="0.3">
      <c r="B7" s="92" t="s">
        <v>244</v>
      </c>
      <c r="C7" s="93" t="s">
        <v>6</v>
      </c>
      <c r="D7" s="94" t="s">
        <v>11</v>
      </c>
      <c r="E7" s="95" t="s">
        <v>3</v>
      </c>
      <c r="F7" s="95">
        <v>1</v>
      </c>
      <c r="G7" s="45">
        <v>4</v>
      </c>
      <c r="H7" s="45">
        <v>2</v>
      </c>
      <c r="I7" s="45">
        <v>7</v>
      </c>
      <c r="J7" s="45">
        <v>0</v>
      </c>
      <c r="K7" s="45">
        <v>-3</v>
      </c>
      <c r="L7" s="46">
        <v>2</v>
      </c>
      <c r="M7" s="47">
        <v>1.75</v>
      </c>
      <c r="N7" s="47">
        <v>0</v>
      </c>
      <c r="O7" s="45">
        <v>80</v>
      </c>
      <c r="P7" s="96">
        <v>20</v>
      </c>
    </row>
    <row r="8" spans="2:16" x14ac:dyDescent="0.3">
      <c r="B8" s="92" t="s">
        <v>529</v>
      </c>
      <c r="C8" s="93" t="s">
        <v>42</v>
      </c>
      <c r="D8" s="94" t="s">
        <v>540</v>
      </c>
      <c r="E8" s="95" t="s">
        <v>3</v>
      </c>
      <c r="F8" s="95">
        <v>1</v>
      </c>
      <c r="G8" s="45">
        <v>4</v>
      </c>
      <c r="H8" s="45">
        <v>2</v>
      </c>
      <c r="I8" s="45">
        <v>0</v>
      </c>
      <c r="J8" s="45">
        <v>0</v>
      </c>
      <c r="K8" s="45">
        <v>4</v>
      </c>
      <c r="L8" s="46">
        <v>2</v>
      </c>
      <c r="M8" s="47">
        <v>0</v>
      </c>
      <c r="N8" s="47">
        <v>0</v>
      </c>
      <c r="O8" s="45">
        <v>0</v>
      </c>
      <c r="P8" s="96">
        <v>160</v>
      </c>
    </row>
    <row r="9" spans="2:16" x14ac:dyDescent="0.3">
      <c r="B9" s="92" t="s">
        <v>422</v>
      </c>
      <c r="C9" s="93" t="s">
        <v>42</v>
      </c>
      <c r="D9" s="94" t="s">
        <v>479</v>
      </c>
      <c r="E9" s="95" t="s">
        <v>3</v>
      </c>
      <c r="F9" s="95">
        <v>1</v>
      </c>
      <c r="G9" s="45">
        <v>4</v>
      </c>
      <c r="H9" s="45">
        <v>2</v>
      </c>
      <c r="I9" s="45">
        <v>0</v>
      </c>
      <c r="J9" s="45">
        <v>0</v>
      </c>
      <c r="K9" s="45">
        <v>4</v>
      </c>
      <c r="L9" s="46">
        <v>2</v>
      </c>
      <c r="M9" s="47">
        <v>0</v>
      </c>
      <c r="N9" s="47">
        <v>0</v>
      </c>
      <c r="O9" s="45">
        <v>0</v>
      </c>
      <c r="P9" s="96">
        <v>160</v>
      </c>
    </row>
    <row r="10" spans="2:16" x14ac:dyDescent="0.3">
      <c r="B10" s="92" t="s">
        <v>388</v>
      </c>
      <c r="C10" s="93" t="s">
        <v>42</v>
      </c>
      <c r="D10" s="94" t="s">
        <v>436</v>
      </c>
      <c r="E10" s="95" t="s">
        <v>3</v>
      </c>
      <c r="F10" s="95">
        <v>1</v>
      </c>
      <c r="G10" s="45">
        <v>4</v>
      </c>
      <c r="H10" s="45">
        <v>2</v>
      </c>
      <c r="I10" s="45">
        <v>0</v>
      </c>
      <c r="J10" s="45">
        <v>0</v>
      </c>
      <c r="K10" s="45">
        <v>4</v>
      </c>
      <c r="L10" s="46">
        <v>2</v>
      </c>
      <c r="M10" s="47">
        <v>0</v>
      </c>
      <c r="N10" s="47">
        <v>0</v>
      </c>
      <c r="O10" s="45">
        <v>0</v>
      </c>
      <c r="P10" s="96">
        <v>160</v>
      </c>
    </row>
    <row r="11" spans="2:16" x14ac:dyDescent="0.3">
      <c r="B11" s="92" t="s">
        <v>127</v>
      </c>
      <c r="C11" s="93" t="s">
        <v>6</v>
      </c>
      <c r="D11" s="94" t="s">
        <v>21</v>
      </c>
      <c r="E11" s="95" t="s">
        <v>17</v>
      </c>
      <c r="F11" s="95">
        <v>1</v>
      </c>
      <c r="G11" s="45">
        <v>6</v>
      </c>
      <c r="H11" s="45">
        <v>6</v>
      </c>
      <c r="I11" s="45">
        <v>0</v>
      </c>
      <c r="J11" s="45">
        <v>0</v>
      </c>
      <c r="K11" s="45">
        <v>6</v>
      </c>
      <c r="L11" s="46">
        <v>6</v>
      </c>
      <c r="M11" s="47">
        <v>0</v>
      </c>
      <c r="N11" s="47">
        <v>0</v>
      </c>
      <c r="O11" s="45">
        <v>0</v>
      </c>
      <c r="P11" s="96">
        <v>360</v>
      </c>
    </row>
    <row r="12" spans="2:16" x14ac:dyDescent="0.3">
      <c r="B12" s="92" t="s">
        <v>33</v>
      </c>
      <c r="C12" s="93" t="s">
        <v>16</v>
      </c>
      <c r="D12" s="94" t="s">
        <v>158</v>
      </c>
      <c r="E12" s="95" t="s">
        <v>17</v>
      </c>
      <c r="F12" s="95">
        <v>1</v>
      </c>
      <c r="G12" s="45">
        <v>6</v>
      </c>
      <c r="H12" s="45">
        <v>6</v>
      </c>
      <c r="I12" s="45">
        <v>1</v>
      </c>
      <c r="J12" s="45">
        <v>0</v>
      </c>
      <c r="K12" s="45">
        <v>5</v>
      </c>
      <c r="L12" s="46">
        <v>6</v>
      </c>
      <c r="M12" s="47">
        <v>0.16666666666666666</v>
      </c>
      <c r="N12" s="47">
        <v>0</v>
      </c>
      <c r="O12" s="45">
        <v>0</v>
      </c>
      <c r="P12" s="96">
        <v>340</v>
      </c>
    </row>
    <row r="13" spans="2:16" x14ac:dyDescent="0.3">
      <c r="B13" s="92" t="s">
        <v>394</v>
      </c>
      <c r="C13" s="93" t="s">
        <v>42</v>
      </c>
      <c r="D13" s="94" t="s">
        <v>437</v>
      </c>
      <c r="E13" s="95" t="s">
        <v>3</v>
      </c>
      <c r="F13" s="95">
        <v>1</v>
      </c>
      <c r="G13" s="45">
        <v>4</v>
      </c>
      <c r="H13" s="45">
        <v>2</v>
      </c>
      <c r="I13" s="45">
        <v>0</v>
      </c>
      <c r="J13" s="45">
        <v>0</v>
      </c>
      <c r="K13" s="45">
        <v>4</v>
      </c>
      <c r="L13" s="46">
        <v>2</v>
      </c>
      <c r="M13" s="47">
        <v>0</v>
      </c>
      <c r="N13" s="47">
        <v>0</v>
      </c>
      <c r="O13" s="45">
        <v>0</v>
      </c>
      <c r="P13" s="96">
        <v>160</v>
      </c>
    </row>
    <row r="14" spans="2:16" x14ac:dyDescent="0.3">
      <c r="B14" s="92" t="s">
        <v>218</v>
      </c>
      <c r="C14" s="93" t="s">
        <v>168</v>
      </c>
      <c r="D14" s="94" t="s">
        <v>25</v>
      </c>
      <c r="E14" s="95" t="s">
        <v>3</v>
      </c>
      <c r="F14" s="95">
        <v>1</v>
      </c>
      <c r="G14" s="45">
        <v>4</v>
      </c>
      <c r="H14" s="45">
        <v>2</v>
      </c>
      <c r="I14" s="45">
        <v>0</v>
      </c>
      <c r="J14" s="45">
        <v>0</v>
      </c>
      <c r="K14" s="45">
        <v>4</v>
      </c>
      <c r="L14" s="46">
        <v>2</v>
      </c>
      <c r="M14" s="47">
        <v>0</v>
      </c>
      <c r="N14" s="47">
        <v>0</v>
      </c>
      <c r="O14" s="45">
        <v>0</v>
      </c>
      <c r="P14" s="96">
        <v>160</v>
      </c>
    </row>
    <row r="15" spans="2:16" x14ac:dyDescent="0.3">
      <c r="B15" s="92" t="s">
        <v>337</v>
      </c>
      <c r="C15" s="93" t="s">
        <v>168</v>
      </c>
      <c r="D15" s="94" t="s">
        <v>0</v>
      </c>
      <c r="E15" s="95" t="s">
        <v>3</v>
      </c>
      <c r="F15" s="95">
        <v>1</v>
      </c>
      <c r="G15" s="45">
        <v>4</v>
      </c>
      <c r="H15" s="45">
        <v>2</v>
      </c>
      <c r="I15" s="45">
        <v>0</v>
      </c>
      <c r="J15" s="45">
        <v>0</v>
      </c>
      <c r="K15" s="45">
        <v>4</v>
      </c>
      <c r="L15" s="46">
        <v>2</v>
      </c>
      <c r="M15" s="47">
        <v>0</v>
      </c>
      <c r="N15" s="47">
        <v>0</v>
      </c>
      <c r="O15" s="45">
        <v>0</v>
      </c>
      <c r="P15" s="96">
        <v>160</v>
      </c>
    </row>
    <row r="16" spans="2:16" x14ac:dyDescent="0.3">
      <c r="B16" s="92" t="s">
        <v>192</v>
      </c>
      <c r="C16" s="93" t="s">
        <v>9</v>
      </c>
      <c r="D16" s="94" t="s">
        <v>28</v>
      </c>
      <c r="E16" s="95" t="s">
        <v>17</v>
      </c>
      <c r="F16" s="95">
        <v>1</v>
      </c>
      <c r="G16" s="45">
        <v>6</v>
      </c>
      <c r="H16" s="45">
        <v>6</v>
      </c>
      <c r="I16" s="45">
        <v>3</v>
      </c>
      <c r="J16" s="45">
        <v>0</v>
      </c>
      <c r="K16" s="45">
        <v>3</v>
      </c>
      <c r="L16" s="46">
        <v>6</v>
      </c>
      <c r="M16" s="47">
        <v>0.5</v>
      </c>
      <c r="N16" s="47">
        <v>0</v>
      </c>
      <c r="O16" s="45">
        <v>0</v>
      </c>
      <c r="P16" s="96">
        <v>300</v>
      </c>
    </row>
    <row r="17" spans="2:16" x14ac:dyDescent="0.3">
      <c r="B17" s="92" t="s">
        <v>145</v>
      </c>
      <c r="C17" s="93" t="s">
        <v>9</v>
      </c>
      <c r="D17" s="97" t="s">
        <v>14</v>
      </c>
      <c r="E17" s="98" t="s">
        <v>3</v>
      </c>
      <c r="F17" s="95">
        <v>1</v>
      </c>
      <c r="G17" s="45">
        <v>4</v>
      </c>
      <c r="H17" s="45">
        <v>2</v>
      </c>
      <c r="I17" s="45">
        <v>2</v>
      </c>
      <c r="J17" s="45">
        <v>2</v>
      </c>
      <c r="K17" s="45">
        <v>2</v>
      </c>
      <c r="L17" s="46">
        <v>0</v>
      </c>
      <c r="M17" s="47">
        <v>0.5</v>
      </c>
      <c r="N17" s="47">
        <v>1</v>
      </c>
      <c r="O17" s="45">
        <v>99</v>
      </c>
      <c r="P17" s="96">
        <v>40</v>
      </c>
    </row>
    <row r="18" spans="2:16" x14ac:dyDescent="0.3">
      <c r="B18" s="92" t="s">
        <v>178</v>
      </c>
      <c r="C18" s="93" t="s">
        <v>9</v>
      </c>
      <c r="D18" s="94" t="s">
        <v>23</v>
      </c>
      <c r="E18" s="95" t="s">
        <v>3</v>
      </c>
      <c r="F18" s="95">
        <v>2</v>
      </c>
      <c r="G18" s="45">
        <v>8</v>
      </c>
      <c r="H18" s="45">
        <v>4</v>
      </c>
      <c r="I18" s="45">
        <v>0</v>
      </c>
      <c r="J18" s="45">
        <v>0</v>
      </c>
      <c r="K18" s="45">
        <v>8</v>
      </c>
      <c r="L18" s="46">
        <v>4</v>
      </c>
      <c r="M18" s="47">
        <v>0</v>
      </c>
      <c r="N18" s="47">
        <v>0</v>
      </c>
      <c r="O18" s="45">
        <v>0</v>
      </c>
      <c r="P18" s="96">
        <v>320</v>
      </c>
    </row>
    <row r="19" spans="2:16" x14ac:dyDescent="0.3">
      <c r="B19" s="92" t="s">
        <v>236</v>
      </c>
      <c r="C19" s="93" t="s">
        <v>9</v>
      </c>
      <c r="D19" s="94" t="s">
        <v>4</v>
      </c>
      <c r="E19" s="95" t="s">
        <v>3</v>
      </c>
      <c r="F19" s="95">
        <v>1</v>
      </c>
      <c r="G19" s="45">
        <v>4</v>
      </c>
      <c r="H19" s="45">
        <v>2</v>
      </c>
      <c r="I19" s="45">
        <v>0</v>
      </c>
      <c r="J19" s="45">
        <v>0</v>
      </c>
      <c r="K19" s="45">
        <v>4</v>
      </c>
      <c r="L19" s="46">
        <v>2</v>
      </c>
      <c r="M19" s="47">
        <v>0</v>
      </c>
      <c r="N19" s="47">
        <v>0</v>
      </c>
      <c r="O19" s="45">
        <v>0</v>
      </c>
      <c r="P19" s="96">
        <v>160</v>
      </c>
    </row>
    <row r="20" spans="2:16" x14ac:dyDescent="0.3">
      <c r="B20" s="92" t="s">
        <v>66</v>
      </c>
      <c r="C20" s="93" t="s">
        <v>9</v>
      </c>
      <c r="D20" s="94" t="s">
        <v>30</v>
      </c>
      <c r="E20" s="95" t="s">
        <v>3</v>
      </c>
      <c r="F20" s="95">
        <v>2</v>
      </c>
      <c r="G20" s="45">
        <v>8</v>
      </c>
      <c r="H20" s="45">
        <v>4</v>
      </c>
      <c r="I20" s="45">
        <v>2</v>
      </c>
      <c r="J20" s="45">
        <v>2</v>
      </c>
      <c r="K20" s="45">
        <v>6</v>
      </c>
      <c r="L20" s="46">
        <v>2</v>
      </c>
      <c r="M20" s="47">
        <v>0.25</v>
      </c>
      <c r="N20" s="47">
        <v>0.5</v>
      </c>
      <c r="O20" s="45">
        <v>120</v>
      </c>
      <c r="P20" s="96">
        <v>200</v>
      </c>
    </row>
    <row r="21" spans="2:16" x14ac:dyDescent="0.3">
      <c r="B21" s="92" t="s">
        <v>139</v>
      </c>
      <c r="C21" s="93" t="s">
        <v>9</v>
      </c>
      <c r="D21" s="94" t="s">
        <v>7</v>
      </c>
      <c r="E21" s="95" t="s">
        <v>17</v>
      </c>
      <c r="F21" s="95">
        <v>1</v>
      </c>
      <c r="G21" s="45">
        <v>6</v>
      </c>
      <c r="H21" s="45">
        <v>6</v>
      </c>
      <c r="I21" s="45">
        <v>0</v>
      </c>
      <c r="J21" s="45">
        <v>0</v>
      </c>
      <c r="K21" s="45">
        <v>6</v>
      </c>
      <c r="L21" s="46">
        <v>6</v>
      </c>
      <c r="M21" s="47">
        <v>0</v>
      </c>
      <c r="N21" s="47">
        <v>0</v>
      </c>
      <c r="O21" s="45">
        <v>0</v>
      </c>
      <c r="P21" s="96">
        <v>360</v>
      </c>
    </row>
    <row r="22" spans="2:16" x14ac:dyDescent="0.3">
      <c r="B22" s="92" t="s">
        <v>282</v>
      </c>
      <c r="C22" s="93" t="s">
        <v>9</v>
      </c>
      <c r="D22" s="94" t="s">
        <v>34</v>
      </c>
      <c r="E22" s="95" t="s">
        <v>3</v>
      </c>
      <c r="F22" s="95">
        <v>1</v>
      </c>
      <c r="G22" s="45">
        <v>4</v>
      </c>
      <c r="H22" s="45">
        <v>2</v>
      </c>
      <c r="I22" s="45">
        <v>0</v>
      </c>
      <c r="J22" s="45">
        <v>0</v>
      </c>
      <c r="K22" s="45">
        <v>4</v>
      </c>
      <c r="L22" s="46">
        <v>2</v>
      </c>
      <c r="M22" s="47">
        <v>0</v>
      </c>
      <c r="N22" s="47">
        <v>0</v>
      </c>
      <c r="O22" s="45">
        <v>0</v>
      </c>
      <c r="P22" s="96">
        <v>160</v>
      </c>
    </row>
    <row r="23" spans="2:16" x14ac:dyDescent="0.3">
      <c r="B23" s="92" t="s">
        <v>299</v>
      </c>
      <c r="C23" s="93" t="s">
        <v>9</v>
      </c>
      <c r="D23" s="94" t="s">
        <v>32</v>
      </c>
      <c r="E23" s="95" t="s">
        <v>3</v>
      </c>
      <c r="F23" s="95">
        <v>1</v>
      </c>
      <c r="G23" s="45">
        <v>4</v>
      </c>
      <c r="H23" s="45">
        <v>2</v>
      </c>
      <c r="I23" s="45">
        <v>4</v>
      </c>
      <c r="J23" s="45">
        <v>2</v>
      </c>
      <c r="K23" s="45">
        <v>0</v>
      </c>
      <c r="L23" s="46">
        <v>0</v>
      </c>
      <c r="M23" s="47">
        <v>1</v>
      </c>
      <c r="N23" s="47">
        <v>1</v>
      </c>
      <c r="O23" s="45">
        <v>131</v>
      </c>
      <c r="P23" s="96">
        <v>0</v>
      </c>
    </row>
    <row r="24" spans="2:16" x14ac:dyDescent="0.3">
      <c r="B24" s="99" t="s">
        <v>404</v>
      </c>
      <c r="C24" s="93" t="s">
        <v>9</v>
      </c>
      <c r="D24" s="94" t="s">
        <v>438</v>
      </c>
      <c r="E24" s="95" t="s">
        <v>17</v>
      </c>
      <c r="F24" s="95">
        <v>1</v>
      </c>
      <c r="G24" s="45">
        <v>6</v>
      </c>
      <c r="H24" s="45">
        <v>6</v>
      </c>
      <c r="I24" s="45">
        <v>0</v>
      </c>
      <c r="J24" s="45">
        <v>0</v>
      </c>
      <c r="K24" s="45">
        <v>6</v>
      </c>
      <c r="L24" s="46">
        <v>6</v>
      </c>
      <c r="M24" s="47">
        <v>0</v>
      </c>
      <c r="N24" s="47">
        <v>0</v>
      </c>
      <c r="O24" s="45">
        <v>0</v>
      </c>
      <c r="P24" s="96">
        <v>360</v>
      </c>
    </row>
    <row r="25" spans="2:16" x14ac:dyDescent="0.3">
      <c r="B25" s="92" t="s">
        <v>151</v>
      </c>
      <c r="C25" s="93" t="s">
        <v>9</v>
      </c>
      <c r="D25" s="94" t="s">
        <v>19</v>
      </c>
      <c r="E25" s="95" t="s">
        <v>3</v>
      </c>
      <c r="F25" s="95">
        <v>3</v>
      </c>
      <c r="G25" s="45">
        <v>12</v>
      </c>
      <c r="H25" s="45">
        <v>6</v>
      </c>
      <c r="I25" s="45">
        <v>4</v>
      </c>
      <c r="J25" s="45">
        <v>4</v>
      </c>
      <c r="K25" s="45">
        <v>8</v>
      </c>
      <c r="L25" s="46">
        <v>2</v>
      </c>
      <c r="M25" s="47">
        <v>0.33333333333333331</v>
      </c>
      <c r="N25" s="47">
        <v>0.66666666666666663</v>
      </c>
      <c r="O25" s="45">
        <v>180</v>
      </c>
      <c r="P25" s="96">
        <v>240</v>
      </c>
    </row>
    <row r="26" spans="2:16" x14ac:dyDescent="0.3">
      <c r="B26" s="92" t="s">
        <v>111</v>
      </c>
      <c r="C26" s="93" t="s">
        <v>9</v>
      </c>
      <c r="D26" s="94" t="s">
        <v>138</v>
      </c>
      <c r="E26" s="95" t="s">
        <v>10</v>
      </c>
      <c r="F26" s="95">
        <v>2</v>
      </c>
      <c r="G26" s="45">
        <v>16</v>
      </c>
      <c r="H26" s="45">
        <v>16</v>
      </c>
      <c r="I26" s="45">
        <v>3</v>
      </c>
      <c r="J26" s="45">
        <v>0</v>
      </c>
      <c r="K26" s="45">
        <v>13</v>
      </c>
      <c r="L26" s="46">
        <v>16</v>
      </c>
      <c r="M26" s="47">
        <v>0.1875</v>
      </c>
      <c r="N26" s="47">
        <v>0</v>
      </c>
      <c r="O26" s="45">
        <v>0</v>
      </c>
      <c r="P26" s="96">
        <v>900</v>
      </c>
    </row>
    <row r="27" spans="2:16" x14ac:dyDescent="0.3">
      <c r="B27" s="92" t="s">
        <v>351</v>
      </c>
      <c r="C27" s="93" t="s">
        <v>9</v>
      </c>
      <c r="D27" s="94" t="s">
        <v>53</v>
      </c>
      <c r="E27" s="95" t="s">
        <v>10</v>
      </c>
      <c r="F27" s="95">
        <v>2</v>
      </c>
      <c r="G27" s="45">
        <v>16</v>
      </c>
      <c r="H27" s="45">
        <v>16</v>
      </c>
      <c r="I27" s="45">
        <v>6</v>
      </c>
      <c r="J27" s="45">
        <v>6</v>
      </c>
      <c r="K27" s="45">
        <v>10</v>
      </c>
      <c r="L27" s="46">
        <v>10</v>
      </c>
      <c r="M27" s="47">
        <v>0.375</v>
      </c>
      <c r="N27" s="47">
        <v>0.375</v>
      </c>
      <c r="O27" s="45">
        <v>360</v>
      </c>
      <c r="P27" s="96">
        <v>600</v>
      </c>
    </row>
    <row r="28" spans="2:16" x14ac:dyDescent="0.3">
      <c r="B28" s="92" t="s">
        <v>339</v>
      </c>
      <c r="C28" s="93" t="s">
        <v>9</v>
      </c>
      <c r="D28" s="94" t="s">
        <v>106</v>
      </c>
      <c r="E28" s="95" t="s">
        <v>3</v>
      </c>
      <c r="F28" s="95">
        <v>1</v>
      </c>
      <c r="G28" s="45">
        <v>4</v>
      </c>
      <c r="H28" s="45">
        <v>2</v>
      </c>
      <c r="I28" s="45">
        <v>0</v>
      </c>
      <c r="J28" s="45">
        <v>0</v>
      </c>
      <c r="K28" s="45">
        <v>4</v>
      </c>
      <c r="L28" s="46">
        <v>2</v>
      </c>
      <c r="M28" s="47">
        <v>0</v>
      </c>
      <c r="N28" s="47">
        <v>0</v>
      </c>
      <c r="O28" s="45">
        <v>0</v>
      </c>
      <c r="P28" s="96">
        <v>160</v>
      </c>
    </row>
    <row r="29" spans="2:16" x14ac:dyDescent="0.3">
      <c r="B29" s="92" t="s">
        <v>31</v>
      </c>
      <c r="C29" s="93" t="s">
        <v>9</v>
      </c>
      <c r="D29" s="94" t="s">
        <v>122</v>
      </c>
      <c r="E29" s="95" t="s">
        <v>3</v>
      </c>
      <c r="F29" s="95">
        <v>1</v>
      </c>
      <c r="G29" s="45">
        <v>4</v>
      </c>
      <c r="H29" s="45">
        <v>2</v>
      </c>
      <c r="I29" s="45">
        <v>2</v>
      </c>
      <c r="J29" s="45">
        <v>2</v>
      </c>
      <c r="K29" s="45">
        <v>2</v>
      </c>
      <c r="L29" s="46">
        <v>0</v>
      </c>
      <c r="M29" s="47">
        <v>0.5</v>
      </c>
      <c r="N29" s="47">
        <v>1</v>
      </c>
      <c r="O29" s="45">
        <v>120</v>
      </c>
      <c r="P29" s="96">
        <v>40</v>
      </c>
    </row>
    <row r="30" spans="2:16" x14ac:dyDescent="0.3">
      <c r="B30" s="99" t="s">
        <v>420</v>
      </c>
      <c r="C30" s="93" t="s">
        <v>9</v>
      </c>
      <c r="D30" s="94" t="s">
        <v>484</v>
      </c>
      <c r="E30" s="95" t="s">
        <v>17</v>
      </c>
      <c r="F30" s="95">
        <v>1</v>
      </c>
      <c r="G30" s="45">
        <v>6</v>
      </c>
      <c r="H30" s="45">
        <v>6</v>
      </c>
      <c r="I30" s="45">
        <v>0</v>
      </c>
      <c r="J30" s="45">
        <v>0</v>
      </c>
      <c r="K30" s="45">
        <v>6</v>
      </c>
      <c r="L30" s="46">
        <v>6</v>
      </c>
      <c r="M30" s="47">
        <v>0</v>
      </c>
      <c r="N30" s="47">
        <v>0</v>
      </c>
      <c r="O30" s="45">
        <v>0</v>
      </c>
      <c r="P30" s="96">
        <v>360</v>
      </c>
    </row>
    <row r="31" spans="2:16" x14ac:dyDescent="0.3">
      <c r="B31" s="92" t="s">
        <v>297</v>
      </c>
      <c r="C31" s="93" t="s">
        <v>9</v>
      </c>
      <c r="D31" s="94" t="s">
        <v>76</v>
      </c>
      <c r="E31" s="95" t="s">
        <v>3</v>
      </c>
      <c r="F31" s="95">
        <v>1</v>
      </c>
      <c r="G31" s="45">
        <v>4</v>
      </c>
      <c r="H31" s="45">
        <v>2</v>
      </c>
      <c r="I31" s="45">
        <v>0</v>
      </c>
      <c r="J31" s="45">
        <v>0</v>
      </c>
      <c r="K31" s="45">
        <v>4</v>
      </c>
      <c r="L31" s="46">
        <v>2</v>
      </c>
      <c r="M31" s="47">
        <v>0</v>
      </c>
      <c r="N31" s="47">
        <v>0</v>
      </c>
      <c r="O31" s="45">
        <v>0</v>
      </c>
      <c r="P31" s="96">
        <v>160</v>
      </c>
    </row>
    <row r="32" spans="2:16" x14ac:dyDescent="0.3">
      <c r="B32" s="92" t="s">
        <v>71</v>
      </c>
      <c r="C32" s="93" t="s">
        <v>9</v>
      </c>
      <c r="D32" s="94" t="s">
        <v>89</v>
      </c>
      <c r="E32" s="95" t="s">
        <v>3</v>
      </c>
      <c r="F32" s="95">
        <v>2</v>
      </c>
      <c r="G32" s="45">
        <v>8</v>
      </c>
      <c r="H32" s="45">
        <v>4</v>
      </c>
      <c r="I32" s="45">
        <v>2</v>
      </c>
      <c r="J32" s="45">
        <v>0</v>
      </c>
      <c r="K32" s="45">
        <v>6</v>
      </c>
      <c r="L32" s="46">
        <v>4</v>
      </c>
      <c r="M32" s="47">
        <v>0.25</v>
      </c>
      <c r="N32" s="47">
        <v>0</v>
      </c>
      <c r="O32" s="45">
        <v>0</v>
      </c>
      <c r="P32" s="96">
        <v>280</v>
      </c>
    </row>
    <row r="33" spans="1:16" x14ac:dyDescent="0.3">
      <c r="B33" s="92" t="s">
        <v>48</v>
      </c>
      <c r="C33" s="93" t="s">
        <v>9</v>
      </c>
      <c r="D33" s="94" t="s">
        <v>124</v>
      </c>
      <c r="E33" s="95" t="s">
        <v>3</v>
      </c>
      <c r="F33" s="95">
        <v>1</v>
      </c>
      <c r="G33" s="45">
        <v>4</v>
      </c>
      <c r="H33" s="45">
        <v>2</v>
      </c>
      <c r="I33" s="45">
        <v>0</v>
      </c>
      <c r="J33" s="45">
        <v>0</v>
      </c>
      <c r="K33" s="45">
        <v>4</v>
      </c>
      <c r="L33" s="46">
        <v>2</v>
      </c>
      <c r="M33" s="47">
        <v>0</v>
      </c>
      <c r="N33" s="47">
        <v>0</v>
      </c>
      <c r="O33" s="45">
        <v>0</v>
      </c>
      <c r="P33" s="96">
        <v>160</v>
      </c>
    </row>
    <row r="34" spans="1:16" x14ac:dyDescent="0.3">
      <c r="B34" s="99" t="s">
        <v>419</v>
      </c>
      <c r="C34" s="93" t="s">
        <v>9</v>
      </c>
      <c r="D34" s="94" t="s">
        <v>483</v>
      </c>
      <c r="E34" s="95" t="s">
        <v>17</v>
      </c>
      <c r="F34" s="95">
        <v>1</v>
      </c>
      <c r="G34" s="45">
        <v>6</v>
      </c>
      <c r="H34" s="45">
        <v>6</v>
      </c>
      <c r="I34" s="45">
        <v>0</v>
      </c>
      <c r="J34" s="45">
        <v>0</v>
      </c>
      <c r="K34" s="45">
        <v>6</v>
      </c>
      <c r="L34" s="46">
        <v>6</v>
      </c>
      <c r="M34" s="47">
        <v>0</v>
      </c>
      <c r="N34" s="47">
        <v>0</v>
      </c>
      <c r="O34" s="45">
        <v>0</v>
      </c>
      <c r="P34" s="96">
        <v>360</v>
      </c>
    </row>
    <row r="35" spans="1:16" x14ac:dyDescent="0.3">
      <c r="B35" s="92" t="s">
        <v>62</v>
      </c>
      <c r="C35" s="93" t="s">
        <v>9</v>
      </c>
      <c r="D35" s="94" t="s">
        <v>94</v>
      </c>
      <c r="E35" s="95" t="s">
        <v>3</v>
      </c>
      <c r="F35" s="95">
        <v>2</v>
      </c>
      <c r="G35" s="45">
        <v>8</v>
      </c>
      <c r="H35" s="45">
        <v>4</v>
      </c>
      <c r="I35" s="45">
        <v>4</v>
      </c>
      <c r="J35" s="45">
        <v>2</v>
      </c>
      <c r="K35" s="45">
        <v>4</v>
      </c>
      <c r="L35" s="46">
        <v>2</v>
      </c>
      <c r="M35" s="47">
        <v>0.5</v>
      </c>
      <c r="N35" s="47">
        <v>0.5</v>
      </c>
      <c r="O35" s="45">
        <v>99</v>
      </c>
      <c r="P35" s="96">
        <v>160</v>
      </c>
    </row>
    <row r="36" spans="1:16" x14ac:dyDescent="0.3">
      <c r="A36" s="48"/>
      <c r="B36" s="92" t="s">
        <v>409</v>
      </c>
      <c r="C36" s="93" t="s">
        <v>42</v>
      </c>
      <c r="D36" s="94" t="s">
        <v>474</v>
      </c>
      <c r="E36" s="95" t="s">
        <v>3</v>
      </c>
      <c r="F36" s="95">
        <v>1</v>
      </c>
      <c r="G36" s="45">
        <v>4</v>
      </c>
      <c r="H36" s="45">
        <v>2</v>
      </c>
      <c r="I36" s="45">
        <v>0</v>
      </c>
      <c r="J36" s="45">
        <v>0</v>
      </c>
      <c r="K36" s="45">
        <v>4</v>
      </c>
      <c r="L36" s="46">
        <v>2</v>
      </c>
      <c r="M36" s="47">
        <v>0</v>
      </c>
      <c r="N36" s="47">
        <v>0</v>
      </c>
      <c r="O36" s="45">
        <v>0</v>
      </c>
      <c r="P36" s="96">
        <v>160</v>
      </c>
    </row>
    <row r="37" spans="1:16" x14ac:dyDescent="0.3">
      <c r="B37" s="92" t="s">
        <v>370</v>
      </c>
      <c r="C37" s="93" t="s">
        <v>36</v>
      </c>
      <c r="D37" s="94" t="s">
        <v>112</v>
      </c>
      <c r="E37" s="95" t="s">
        <v>3</v>
      </c>
      <c r="F37" s="95">
        <v>1</v>
      </c>
      <c r="G37" s="45">
        <v>4</v>
      </c>
      <c r="H37" s="45">
        <v>2</v>
      </c>
      <c r="I37" s="45">
        <v>0</v>
      </c>
      <c r="J37" s="45">
        <v>0</v>
      </c>
      <c r="K37" s="45">
        <v>4</v>
      </c>
      <c r="L37" s="46">
        <v>2</v>
      </c>
      <c r="M37" s="47">
        <v>0</v>
      </c>
      <c r="N37" s="47">
        <v>0</v>
      </c>
      <c r="O37" s="45">
        <v>0</v>
      </c>
      <c r="P37" s="96">
        <v>160</v>
      </c>
    </row>
    <row r="38" spans="1:16" x14ac:dyDescent="0.3">
      <c r="B38" s="92" t="s">
        <v>234</v>
      </c>
      <c r="C38" s="93" t="s">
        <v>6</v>
      </c>
      <c r="D38" s="94" t="s">
        <v>61</v>
      </c>
      <c r="E38" s="95" t="s">
        <v>3</v>
      </c>
      <c r="F38" s="95">
        <v>1</v>
      </c>
      <c r="G38" s="45">
        <v>4</v>
      </c>
      <c r="H38" s="45">
        <v>2</v>
      </c>
      <c r="I38" s="45">
        <v>4</v>
      </c>
      <c r="J38" s="45">
        <v>2</v>
      </c>
      <c r="K38" s="45">
        <v>0</v>
      </c>
      <c r="L38" s="46">
        <v>0</v>
      </c>
      <c r="M38" s="47">
        <v>1</v>
      </c>
      <c r="N38" s="47">
        <v>1</v>
      </c>
      <c r="O38" s="45">
        <v>120</v>
      </c>
      <c r="P38" s="96">
        <v>0</v>
      </c>
    </row>
    <row r="39" spans="1:16" x14ac:dyDescent="0.3">
      <c r="B39" s="99" t="s">
        <v>401</v>
      </c>
      <c r="C39" s="93" t="s">
        <v>6</v>
      </c>
      <c r="D39" s="94" t="s">
        <v>439</v>
      </c>
      <c r="E39" s="95" t="s">
        <v>17</v>
      </c>
      <c r="F39" s="95">
        <v>1</v>
      </c>
      <c r="G39" s="45">
        <v>6</v>
      </c>
      <c r="H39" s="45">
        <v>6</v>
      </c>
      <c r="I39" s="45">
        <v>1</v>
      </c>
      <c r="J39" s="45">
        <v>0</v>
      </c>
      <c r="K39" s="45">
        <v>5</v>
      </c>
      <c r="L39" s="46">
        <v>6</v>
      </c>
      <c r="M39" s="47">
        <v>0.16666666666666666</v>
      </c>
      <c r="N39" s="47">
        <v>0</v>
      </c>
      <c r="O39" s="45">
        <v>0</v>
      </c>
      <c r="P39" s="96">
        <v>340</v>
      </c>
    </row>
    <row r="40" spans="1:16" x14ac:dyDescent="0.3">
      <c r="B40" s="92" t="s">
        <v>90</v>
      </c>
      <c r="C40" s="93" t="s">
        <v>2</v>
      </c>
      <c r="D40" s="94" t="s">
        <v>87</v>
      </c>
      <c r="E40" s="95" t="s">
        <v>17</v>
      </c>
      <c r="F40" s="95">
        <v>1</v>
      </c>
      <c r="G40" s="45">
        <v>6</v>
      </c>
      <c r="H40" s="45">
        <v>6</v>
      </c>
      <c r="I40" s="45">
        <v>3</v>
      </c>
      <c r="J40" s="45">
        <v>3</v>
      </c>
      <c r="K40" s="45">
        <v>3</v>
      </c>
      <c r="L40" s="46">
        <v>3</v>
      </c>
      <c r="M40" s="47">
        <v>0.5</v>
      </c>
      <c r="N40" s="47">
        <v>0.5</v>
      </c>
      <c r="O40" s="45">
        <v>180</v>
      </c>
      <c r="P40" s="96">
        <v>180</v>
      </c>
    </row>
    <row r="41" spans="1:16" x14ac:dyDescent="0.3">
      <c r="B41" s="92" t="s">
        <v>88</v>
      </c>
      <c r="C41" s="93" t="s">
        <v>2</v>
      </c>
      <c r="D41" s="94" t="s">
        <v>128</v>
      </c>
      <c r="E41" s="95" t="s">
        <v>17</v>
      </c>
      <c r="F41" s="95">
        <v>1</v>
      </c>
      <c r="G41" s="45">
        <v>6</v>
      </c>
      <c r="H41" s="45">
        <v>6</v>
      </c>
      <c r="I41" s="45">
        <v>0</v>
      </c>
      <c r="J41" s="45">
        <v>0</v>
      </c>
      <c r="K41" s="45">
        <v>6</v>
      </c>
      <c r="L41" s="46">
        <v>6</v>
      </c>
      <c r="M41" s="47">
        <v>0</v>
      </c>
      <c r="N41" s="47">
        <v>0</v>
      </c>
      <c r="O41" s="45">
        <v>0</v>
      </c>
      <c r="P41" s="96">
        <v>360</v>
      </c>
    </row>
    <row r="42" spans="1:16" x14ac:dyDescent="0.3">
      <c r="B42" s="92" t="s">
        <v>248</v>
      </c>
      <c r="C42" s="93" t="s">
        <v>2</v>
      </c>
      <c r="D42" s="94" t="s">
        <v>114</v>
      </c>
      <c r="E42" s="95" t="s">
        <v>3</v>
      </c>
      <c r="F42" s="95">
        <v>2</v>
      </c>
      <c r="G42" s="45">
        <v>8</v>
      </c>
      <c r="H42" s="45">
        <v>4</v>
      </c>
      <c r="I42" s="45">
        <v>0</v>
      </c>
      <c r="J42" s="45">
        <v>0</v>
      </c>
      <c r="K42" s="45">
        <v>8</v>
      </c>
      <c r="L42" s="46">
        <v>4</v>
      </c>
      <c r="M42" s="47">
        <v>0</v>
      </c>
      <c r="N42" s="47">
        <v>0</v>
      </c>
      <c r="O42" s="45">
        <v>0</v>
      </c>
      <c r="P42" s="96">
        <v>320</v>
      </c>
    </row>
    <row r="43" spans="1:16" x14ac:dyDescent="0.3">
      <c r="B43" s="92" t="s">
        <v>417</v>
      </c>
      <c r="C43" s="93" t="s">
        <v>2</v>
      </c>
      <c r="D43" s="94" t="s">
        <v>481</v>
      </c>
      <c r="E43" s="95" t="s">
        <v>3</v>
      </c>
      <c r="F43" s="95">
        <v>1</v>
      </c>
      <c r="G43" s="45">
        <v>4</v>
      </c>
      <c r="H43" s="45">
        <v>2</v>
      </c>
      <c r="I43" s="45">
        <v>0</v>
      </c>
      <c r="J43" s="45">
        <v>0</v>
      </c>
      <c r="K43" s="45">
        <v>4</v>
      </c>
      <c r="L43" s="46">
        <v>2</v>
      </c>
      <c r="M43" s="47">
        <v>0</v>
      </c>
      <c r="N43" s="47">
        <v>0</v>
      </c>
      <c r="O43" s="45">
        <v>0</v>
      </c>
      <c r="P43" s="96">
        <v>160</v>
      </c>
    </row>
    <row r="44" spans="1:16" x14ac:dyDescent="0.3">
      <c r="B44" s="92" t="s">
        <v>398</v>
      </c>
      <c r="C44" s="93" t="s">
        <v>530</v>
      </c>
      <c r="D44" s="94" t="s">
        <v>440</v>
      </c>
      <c r="E44" s="95" t="s">
        <v>3</v>
      </c>
      <c r="F44" s="95">
        <v>1</v>
      </c>
      <c r="G44" s="45">
        <v>4</v>
      </c>
      <c r="H44" s="45">
        <v>2</v>
      </c>
      <c r="I44" s="45">
        <v>0</v>
      </c>
      <c r="J44" s="45">
        <v>0</v>
      </c>
      <c r="K44" s="45">
        <v>4</v>
      </c>
      <c r="L44" s="46">
        <v>2</v>
      </c>
      <c r="M44" s="47">
        <v>0</v>
      </c>
      <c r="N44" s="47">
        <v>0</v>
      </c>
      <c r="O44" s="45">
        <v>0</v>
      </c>
      <c r="P44" s="96">
        <v>160</v>
      </c>
    </row>
    <row r="45" spans="1:16" x14ac:dyDescent="0.3">
      <c r="B45" s="92" t="s">
        <v>286</v>
      </c>
      <c r="C45" s="93" t="s">
        <v>131</v>
      </c>
      <c r="D45" s="94" t="s">
        <v>47</v>
      </c>
      <c r="E45" s="95" t="s">
        <v>3</v>
      </c>
      <c r="F45" s="95">
        <v>1</v>
      </c>
      <c r="G45" s="45">
        <v>4</v>
      </c>
      <c r="H45" s="45">
        <v>2</v>
      </c>
      <c r="I45" s="45">
        <v>0</v>
      </c>
      <c r="J45" s="45">
        <v>0</v>
      </c>
      <c r="K45" s="45">
        <v>4</v>
      </c>
      <c r="L45" s="46">
        <v>2</v>
      </c>
      <c r="M45" s="47">
        <v>0</v>
      </c>
      <c r="N45" s="47">
        <v>0</v>
      </c>
      <c r="O45" s="45">
        <v>0</v>
      </c>
      <c r="P45" s="96">
        <v>160</v>
      </c>
    </row>
    <row r="46" spans="1:16" x14ac:dyDescent="0.3">
      <c r="B46" s="92" t="s">
        <v>182</v>
      </c>
      <c r="C46" s="93" t="s">
        <v>131</v>
      </c>
      <c r="D46" s="94" t="s">
        <v>43</v>
      </c>
      <c r="E46" s="95" t="s">
        <v>17</v>
      </c>
      <c r="F46" s="95">
        <v>2</v>
      </c>
      <c r="G46" s="45">
        <v>12</v>
      </c>
      <c r="H46" s="45">
        <v>12</v>
      </c>
      <c r="I46" s="45">
        <v>2</v>
      </c>
      <c r="J46" s="45">
        <v>2</v>
      </c>
      <c r="K46" s="45">
        <v>10</v>
      </c>
      <c r="L46" s="46">
        <v>10</v>
      </c>
      <c r="M46" s="47">
        <v>0.16666666666666666</v>
      </c>
      <c r="N46" s="47">
        <v>0.16666666666666666</v>
      </c>
      <c r="O46" s="45">
        <v>82</v>
      </c>
      <c r="P46" s="96">
        <v>600</v>
      </c>
    </row>
    <row r="47" spans="1:16" x14ac:dyDescent="0.3">
      <c r="B47" s="92" t="s">
        <v>278</v>
      </c>
      <c r="C47" s="93" t="s">
        <v>131</v>
      </c>
      <c r="D47" s="94" t="s">
        <v>126</v>
      </c>
      <c r="E47" s="95" t="s">
        <v>3</v>
      </c>
      <c r="F47" s="95">
        <v>1</v>
      </c>
      <c r="G47" s="45">
        <v>4</v>
      </c>
      <c r="H47" s="45">
        <v>2</v>
      </c>
      <c r="I47" s="45">
        <v>0</v>
      </c>
      <c r="J47" s="45">
        <v>0</v>
      </c>
      <c r="K47" s="45">
        <v>4</v>
      </c>
      <c r="L47" s="46">
        <v>2</v>
      </c>
      <c r="M47" s="47">
        <v>0</v>
      </c>
      <c r="N47" s="47">
        <v>0</v>
      </c>
      <c r="O47" s="45">
        <v>0</v>
      </c>
      <c r="P47" s="96">
        <v>160</v>
      </c>
    </row>
    <row r="48" spans="1:16" x14ac:dyDescent="0.3">
      <c r="B48" s="92" t="s">
        <v>101</v>
      </c>
      <c r="C48" s="93" t="s">
        <v>70</v>
      </c>
      <c r="D48" s="94" t="s">
        <v>108</v>
      </c>
      <c r="E48" s="95" t="s">
        <v>3</v>
      </c>
      <c r="F48" s="95">
        <v>1</v>
      </c>
      <c r="G48" s="45">
        <v>4</v>
      </c>
      <c r="H48" s="45">
        <v>2</v>
      </c>
      <c r="I48" s="45">
        <v>0</v>
      </c>
      <c r="J48" s="45">
        <v>0</v>
      </c>
      <c r="K48" s="45">
        <v>4</v>
      </c>
      <c r="L48" s="46">
        <v>2</v>
      </c>
      <c r="M48" s="47">
        <v>0</v>
      </c>
      <c r="N48" s="47">
        <v>0</v>
      </c>
      <c r="O48" s="45">
        <v>0</v>
      </c>
      <c r="P48" s="96">
        <v>160</v>
      </c>
    </row>
    <row r="49" spans="2:16" x14ac:dyDescent="0.3">
      <c r="B49" s="92" t="s">
        <v>525</v>
      </c>
      <c r="C49" s="93" t="s">
        <v>13</v>
      </c>
      <c r="D49" s="94" t="s">
        <v>539</v>
      </c>
      <c r="E49" s="95" t="s">
        <v>3</v>
      </c>
      <c r="F49" s="95">
        <v>1</v>
      </c>
      <c r="G49" s="45">
        <v>4</v>
      </c>
      <c r="H49" s="45">
        <v>2</v>
      </c>
      <c r="I49" s="45">
        <v>0</v>
      </c>
      <c r="J49" s="45">
        <v>0</v>
      </c>
      <c r="K49" s="45">
        <v>4</v>
      </c>
      <c r="L49" s="46">
        <v>2</v>
      </c>
      <c r="M49" s="47">
        <v>0</v>
      </c>
      <c r="N49" s="47">
        <v>0</v>
      </c>
      <c r="O49" s="45">
        <v>0</v>
      </c>
      <c r="P49" s="96">
        <v>160</v>
      </c>
    </row>
    <row r="50" spans="2:16" x14ac:dyDescent="0.3">
      <c r="B50" s="92" t="s">
        <v>268</v>
      </c>
      <c r="C50" s="93" t="s">
        <v>9</v>
      </c>
      <c r="D50" s="94" t="s">
        <v>133</v>
      </c>
      <c r="E50" s="95" t="s">
        <v>3</v>
      </c>
      <c r="F50" s="95">
        <v>1</v>
      </c>
      <c r="G50" s="45">
        <v>4</v>
      </c>
      <c r="H50" s="45">
        <v>2</v>
      </c>
      <c r="I50" s="45">
        <v>1</v>
      </c>
      <c r="J50" s="45">
        <v>0</v>
      </c>
      <c r="K50" s="45">
        <v>3</v>
      </c>
      <c r="L50" s="46">
        <v>2</v>
      </c>
      <c r="M50" s="47">
        <v>0.25</v>
      </c>
      <c r="N50" s="47">
        <v>0</v>
      </c>
      <c r="O50" s="45">
        <v>0</v>
      </c>
      <c r="P50" s="96">
        <v>140</v>
      </c>
    </row>
    <row r="51" spans="2:16" x14ac:dyDescent="0.3">
      <c r="B51" s="92" t="s">
        <v>212</v>
      </c>
      <c r="C51" s="93" t="s">
        <v>86</v>
      </c>
      <c r="D51" s="94" t="s">
        <v>116</v>
      </c>
      <c r="E51" s="95" t="s">
        <v>3</v>
      </c>
      <c r="F51" s="95">
        <v>1</v>
      </c>
      <c r="G51" s="45">
        <v>4</v>
      </c>
      <c r="H51" s="45">
        <v>2</v>
      </c>
      <c r="I51" s="45">
        <v>0</v>
      </c>
      <c r="J51" s="45">
        <v>0</v>
      </c>
      <c r="K51" s="45">
        <v>4</v>
      </c>
      <c r="L51" s="46">
        <v>2</v>
      </c>
      <c r="M51" s="47">
        <v>0</v>
      </c>
      <c r="N51" s="47">
        <v>0</v>
      </c>
      <c r="O51" s="45">
        <v>0</v>
      </c>
      <c r="P51" s="96">
        <v>160</v>
      </c>
    </row>
    <row r="52" spans="2:16" x14ac:dyDescent="0.3">
      <c r="B52" s="92" t="s">
        <v>176</v>
      </c>
      <c r="C52" s="93" t="s">
        <v>168</v>
      </c>
      <c r="D52" s="94" t="s">
        <v>82</v>
      </c>
      <c r="E52" s="95" t="s">
        <v>3</v>
      </c>
      <c r="F52" s="95">
        <v>1</v>
      </c>
      <c r="G52" s="45">
        <v>4</v>
      </c>
      <c r="H52" s="45">
        <v>2</v>
      </c>
      <c r="I52" s="45">
        <v>0</v>
      </c>
      <c r="J52" s="45">
        <v>0</v>
      </c>
      <c r="K52" s="45">
        <v>4</v>
      </c>
      <c r="L52" s="46">
        <v>2</v>
      </c>
      <c r="M52" s="47">
        <v>0</v>
      </c>
      <c r="N52" s="47">
        <v>0</v>
      </c>
      <c r="O52" s="45">
        <v>0</v>
      </c>
      <c r="P52" s="96">
        <v>160</v>
      </c>
    </row>
    <row r="53" spans="2:16" x14ac:dyDescent="0.3">
      <c r="B53" s="92" t="s">
        <v>153</v>
      </c>
      <c r="C53" s="93" t="s">
        <v>6</v>
      </c>
      <c r="D53" s="94" t="s">
        <v>57</v>
      </c>
      <c r="E53" s="95" t="s">
        <v>3</v>
      </c>
      <c r="F53" s="95">
        <v>1</v>
      </c>
      <c r="G53" s="45">
        <v>4</v>
      </c>
      <c r="H53" s="45">
        <v>2</v>
      </c>
      <c r="I53" s="45">
        <v>4</v>
      </c>
      <c r="J53" s="45">
        <v>2</v>
      </c>
      <c r="K53" s="45">
        <v>0</v>
      </c>
      <c r="L53" s="46">
        <v>0</v>
      </c>
      <c r="M53" s="47">
        <v>1</v>
      </c>
      <c r="N53" s="47">
        <v>1</v>
      </c>
      <c r="O53" s="45">
        <v>140</v>
      </c>
      <c r="P53" s="96">
        <v>0</v>
      </c>
    </row>
    <row r="54" spans="2:16" x14ac:dyDescent="0.3">
      <c r="B54" s="92" t="s">
        <v>147</v>
      </c>
      <c r="C54" s="93" t="s">
        <v>9</v>
      </c>
      <c r="D54" s="94" t="s">
        <v>49</v>
      </c>
      <c r="E54" s="95" t="s">
        <v>3</v>
      </c>
      <c r="F54" s="95">
        <v>2</v>
      </c>
      <c r="G54" s="45">
        <v>8</v>
      </c>
      <c r="H54" s="45">
        <v>4</v>
      </c>
      <c r="I54" s="45">
        <v>2</v>
      </c>
      <c r="J54" s="45">
        <v>0</v>
      </c>
      <c r="K54" s="45">
        <v>6</v>
      </c>
      <c r="L54" s="46">
        <v>4</v>
      </c>
      <c r="M54" s="47">
        <v>0.25</v>
      </c>
      <c r="N54" s="47">
        <v>0</v>
      </c>
      <c r="O54" s="45">
        <v>0</v>
      </c>
      <c r="P54" s="96">
        <v>280</v>
      </c>
    </row>
    <row r="55" spans="2:16" x14ac:dyDescent="0.3">
      <c r="B55" s="99" t="s">
        <v>507</v>
      </c>
      <c r="C55" s="93" t="s">
        <v>9</v>
      </c>
      <c r="D55" s="94" t="s">
        <v>536</v>
      </c>
      <c r="E55" s="95" t="s">
        <v>10</v>
      </c>
      <c r="F55" s="95">
        <v>3</v>
      </c>
      <c r="G55" s="45">
        <v>24</v>
      </c>
      <c r="H55" s="45">
        <v>24</v>
      </c>
      <c r="I55" s="45">
        <v>0</v>
      </c>
      <c r="J55" s="45">
        <v>1</v>
      </c>
      <c r="K55" s="45">
        <v>24</v>
      </c>
      <c r="L55" s="46">
        <v>23</v>
      </c>
      <c r="M55" s="47">
        <v>0</v>
      </c>
      <c r="N55" s="47">
        <v>4.1666666666666664E-2</v>
      </c>
      <c r="O55" s="45">
        <v>0</v>
      </c>
      <c r="P55" s="96">
        <v>1400</v>
      </c>
    </row>
    <row r="56" spans="2:16" x14ac:dyDescent="0.3">
      <c r="B56" s="92" t="s">
        <v>52</v>
      </c>
      <c r="C56" s="93" t="s">
        <v>6</v>
      </c>
      <c r="D56" s="94" t="s">
        <v>98</v>
      </c>
      <c r="E56" s="95" t="s">
        <v>3</v>
      </c>
      <c r="F56" s="95">
        <v>1</v>
      </c>
      <c r="G56" s="45">
        <v>4</v>
      </c>
      <c r="H56" s="45">
        <v>2</v>
      </c>
      <c r="I56" s="45">
        <v>4</v>
      </c>
      <c r="J56" s="45">
        <v>2</v>
      </c>
      <c r="K56" s="45">
        <v>0</v>
      </c>
      <c r="L56" s="46">
        <v>0</v>
      </c>
      <c r="M56" s="47">
        <v>1</v>
      </c>
      <c r="N56" s="47">
        <v>1</v>
      </c>
      <c r="O56" s="45">
        <v>148</v>
      </c>
      <c r="P56" s="96">
        <v>0</v>
      </c>
    </row>
    <row r="57" spans="2:16" x14ac:dyDescent="0.3">
      <c r="B57" s="99" t="s">
        <v>374</v>
      </c>
      <c r="C57" s="93" t="s">
        <v>6</v>
      </c>
      <c r="D57" s="94" t="s">
        <v>441</v>
      </c>
      <c r="E57" s="95" t="s">
        <v>17</v>
      </c>
      <c r="F57" s="95">
        <v>1</v>
      </c>
      <c r="G57" s="45">
        <v>6</v>
      </c>
      <c r="H57" s="45">
        <v>6</v>
      </c>
      <c r="I57" s="45">
        <v>6</v>
      </c>
      <c r="J57" s="45">
        <v>6</v>
      </c>
      <c r="K57" s="45">
        <v>0</v>
      </c>
      <c r="L57" s="46">
        <v>0</v>
      </c>
      <c r="M57" s="47">
        <v>1</v>
      </c>
      <c r="N57" s="47">
        <v>1</v>
      </c>
      <c r="O57" s="45">
        <v>360</v>
      </c>
      <c r="P57" s="96">
        <v>0</v>
      </c>
    </row>
    <row r="58" spans="2:16" x14ac:dyDescent="0.3">
      <c r="B58" s="100" t="s">
        <v>405</v>
      </c>
      <c r="C58" s="93" t="s">
        <v>6</v>
      </c>
      <c r="D58" s="94" t="s">
        <v>471</v>
      </c>
      <c r="E58" s="95" t="s">
        <v>10</v>
      </c>
      <c r="F58" s="95">
        <v>1</v>
      </c>
      <c r="G58" s="45">
        <v>8</v>
      </c>
      <c r="H58" s="45">
        <v>8</v>
      </c>
      <c r="I58" s="45">
        <v>1</v>
      </c>
      <c r="J58" s="45">
        <v>3</v>
      </c>
      <c r="K58" s="45">
        <v>7</v>
      </c>
      <c r="L58" s="46">
        <v>5</v>
      </c>
      <c r="M58" s="47">
        <v>0.125</v>
      </c>
      <c r="N58" s="47">
        <v>0.375</v>
      </c>
      <c r="O58" s="45">
        <v>125</v>
      </c>
      <c r="P58" s="96">
        <v>340</v>
      </c>
    </row>
    <row r="59" spans="2:16" x14ac:dyDescent="0.3">
      <c r="B59" s="92" t="s">
        <v>123</v>
      </c>
      <c r="C59" s="93" t="s">
        <v>6</v>
      </c>
      <c r="D59" s="94" t="s">
        <v>100</v>
      </c>
      <c r="E59" s="95" t="s">
        <v>3</v>
      </c>
      <c r="F59" s="95">
        <v>1</v>
      </c>
      <c r="G59" s="45">
        <v>4</v>
      </c>
      <c r="H59" s="45">
        <v>2</v>
      </c>
      <c r="I59" s="45">
        <v>0</v>
      </c>
      <c r="J59" s="45">
        <v>0</v>
      </c>
      <c r="K59" s="45">
        <v>4</v>
      </c>
      <c r="L59" s="46">
        <v>2</v>
      </c>
      <c r="M59" s="47">
        <v>0</v>
      </c>
      <c r="N59" s="47">
        <v>0</v>
      </c>
      <c r="O59" s="45">
        <v>0</v>
      </c>
      <c r="P59" s="96">
        <v>160</v>
      </c>
    </row>
    <row r="60" spans="2:16" x14ac:dyDescent="0.3">
      <c r="B60" s="92" t="s">
        <v>35</v>
      </c>
      <c r="C60" s="93" t="s">
        <v>36</v>
      </c>
      <c r="D60" s="94" t="s">
        <v>460</v>
      </c>
      <c r="E60" s="95" t="s">
        <v>3</v>
      </c>
      <c r="F60" s="95">
        <v>2</v>
      </c>
      <c r="G60" s="45">
        <v>8</v>
      </c>
      <c r="H60" s="45">
        <v>4</v>
      </c>
      <c r="I60" s="45">
        <v>0</v>
      </c>
      <c r="J60" s="45">
        <v>0</v>
      </c>
      <c r="K60" s="45">
        <v>8</v>
      </c>
      <c r="L60" s="46">
        <v>4</v>
      </c>
      <c r="M60" s="47">
        <v>0</v>
      </c>
      <c r="N60" s="47">
        <v>0</v>
      </c>
      <c r="O60" s="45">
        <v>0</v>
      </c>
      <c r="P60" s="96">
        <v>320</v>
      </c>
    </row>
    <row r="61" spans="2:16" x14ac:dyDescent="0.3">
      <c r="B61" s="92" t="s">
        <v>431</v>
      </c>
      <c r="C61" s="93" t="s">
        <v>13</v>
      </c>
      <c r="D61" s="94" t="s">
        <v>476</v>
      </c>
      <c r="E61" s="95" t="s">
        <v>10</v>
      </c>
      <c r="F61" s="95">
        <v>1</v>
      </c>
      <c r="G61" s="45">
        <v>8</v>
      </c>
      <c r="H61" s="45">
        <v>8</v>
      </c>
      <c r="I61" s="45">
        <v>3</v>
      </c>
      <c r="J61" s="45">
        <v>2</v>
      </c>
      <c r="K61" s="45">
        <v>5</v>
      </c>
      <c r="L61" s="46">
        <v>6</v>
      </c>
      <c r="M61" s="47">
        <v>0.375</v>
      </c>
      <c r="N61" s="47">
        <v>0.25</v>
      </c>
      <c r="O61" s="45">
        <v>0</v>
      </c>
      <c r="P61" s="96">
        <v>340</v>
      </c>
    </row>
    <row r="62" spans="2:16" x14ac:dyDescent="0.3">
      <c r="B62" s="92" t="s">
        <v>105</v>
      </c>
      <c r="C62" s="93" t="s">
        <v>13</v>
      </c>
      <c r="D62" s="94" t="s">
        <v>135</v>
      </c>
      <c r="E62" s="95" t="s">
        <v>3</v>
      </c>
      <c r="F62" s="95">
        <v>2</v>
      </c>
      <c r="G62" s="45">
        <v>8</v>
      </c>
      <c r="H62" s="45">
        <v>4</v>
      </c>
      <c r="I62" s="45">
        <v>0</v>
      </c>
      <c r="J62" s="45">
        <v>0</v>
      </c>
      <c r="K62" s="45">
        <v>8</v>
      </c>
      <c r="L62" s="46">
        <v>4</v>
      </c>
      <c r="M62" s="47">
        <v>0</v>
      </c>
      <c r="N62" s="47">
        <v>0</v>
      </c>
      <c r="O62" s="45">
        <v>0</v>
      </c>
      <c r="P62" s="96">
        <v>320</v>
      </c>
    </row>
    <row r="63" spans="2:16" x14ac:dyDescent="0.3">
      <c r="B63" s="92" t="s">
        <v>12</v>
      </c>
      <c r="C63" s="93" t="s">
        <v>13</v>
      </c>
      <c r="D63" s="94" t="s">
        <v>72</v>
      </c>
      <c r="E63" s="95" t="s">
        <v>3</v>
      </c>
      <c r="F63" s="95">
        <v>1</v>
      </c>
      <c r="G63" s="45">
        <v>4</v>
      </c>
      <c r="H63" s="45">
        <v>2</v>
      </c>
      <c r="I63" s="45">
        <v>3</v>
      </c>
      <c r="J63" s="45">
        <v>2</v>
      </c>
      <c r="K63" s="45">
        <v>1</v>
      </c>
      <c r="L63" s="46">
        <v>0</v>
      </c>
      <c r="M63" s="47">
        <v>0.75</v>
      </c>
      <c r="N63" s="47">
        <v>1</v>
      </c>
      <c r="O63" s="45">
        <v>82</v>
      </c>
      <c r="P63" s="96">
        <v>20</v>
      </c>
    </row>
    <row r="64" spans="2:16" x14ac:dyDescent="0.3">
      <c r="B64" s="92" t="s">
        <v>79</v>
      </c>
      <c r="C64" s="93" t="s">
        <v>6</v>
      </c>
      <c r="D64" s="94" t="s">
        <v>96</v>
      </c>
      <c r="E64" s="95" t="s">
        <v>10</v>
      </c>
      <c r="F64" s="95">
        <v>2</v>
      </c>
      <c r="G64" s="45">
        <v>16</v>
      </c>
      <c r="H64" s="45">
        <v>16</v>
      </c>
      <c r="I64" s="45">
        <v>13</v>
      </c>
      <c r="J64" s="45">
        <v>14</v>
      </c>
      <c r="K64" s="45">
        <v>3</v>
      </c>
      <c r="L64" s="46">
        <v>2</v>
      </c>
      <c r="M64" s="47">
        <v>0.8125</v>
      </c>
      <c r="N64" s="47">
        <v>0.875</v>
      </c>
      <c r="O64" s="45">
        <v>720</v>
      </c>
      <c r="P64" s="96">
        <v>140</v>
      </c>
    </row>
    <row r="65" spans="2:16" x14ac:dyDescent="0.3">
      <c r="B65" s="92" t="s">
        <v>266</v>
      </c>
      <c r="C65" s="93" t="s">
        <v>131</v>
      </c>
      <c r="D65" s="94" t="s">
        <v>80</v>
      </c>
      <c r="E65" s="95" t="s">
        <v>3</v>
      </c>
      <c r="F65" s="95">
        <v>1</v>
      </c>
      <c r="G65" s="45">
        <v>4</v>
      </c>
      <c r="H65" s="45">
        <v>2</v>
      </c>
      <c r="I65" s="45">
        <v>0</v>
      </c>
      <c r="J65" s="45">
        <v>0</v>
      </c>
      <c r="K65" s="45">
        <v>4</v>
      </c>
      <c r="L65" s="46">
        <v>2</v>
      </c>
      <c r="M65" s="47">
        <v>0</v>
      </c>
      <c r="N65" s="47">
        <v>0</v>
      </c>
      <c r="O65" s="45">
        <v>0</v>
      </c>
      <c r="P65" s="96">
        <v>160</v>
      </c>
    </row>
    <row r="66" spans="2:16" x14ac:dyDescent="0.3">
      <c r="B66" s="92" t="s">
        <v>432</v>
      </c>
      <c r="C66" s="93" t="s">
        <v>42</v>
      </c>
      <c r="D66" s="94" t="s">
        <v>487</v>
      </c>
      <c r="E66" s="95" t="s">
        <v>3</v>
      </c>
      <c r="F66" s="95">
        <v>1</v>
      </c>
      <c r="G66" s="45">
        <v>4</v>
      </c>
      <c r="H66" s="45">
        <v>2</v>
      </c>
      <c r="I66" s="45">
        <v>0</v>
      </c>
      <c r="J66" s="45">
        <v>0</v>
      </c>
      <c r="K66" s="45">
        <v>4</v>
      </c>
      <c r="L66" s="46">
        <v>2</v>
      </c>
      <c r="M66" s="47">
        <v>0</v>
      </c>
      <c r="N66" s="47">
        <v>0</v>
      </c>
      <c r="O66" s="45">
        <v>0</v>
      </c>
      <c r="P66" s="96">
        <v>160</v>
      </c>
    </row>
    <row r="67" spans="2:16" x14ac:dyDescent="0.3">
      <c r="B67" s="92" t="s">
        <v>511</v>
      </c>
      <c r="C67" s="93" t="s">
        <v>16</v>
      </c>
      <c r="D67" s="94" t="s">
        <v>532</v>
      </c>
      <c r="E67" s="95" t="s">
        <v>3</v>
      </c>
      <c r="F67" s="95">
        <v>1</v>
      </c>
      <c r="G67" s="45">
        <v>4</v>
      </c>
      <c r="H67" s="45">
        <v>2</v>
      </c>
      <c r="I67" s="45">
        <v>0</v>
      </c>
      <c r="J67" s="45">
        <v>0</v>
      </c>
      <c r="K67" s="45">
        <v>4</v>
      </c>
      <c r="L67" s="46">
        <v>2</v>
      </c>
      <c r="M67" s="47">
        <v>0</v>
      </c>
      <c r="N67" s="47">
        <v>0</v>
      </c>
      <c r="O67" s="45">
        <v>0</v>
      </c>
      <c r="P67" s="96">
        <v>160</v>
      </c>
    </row>
    <row r="68" spans="2:16" x14ac:dyDescent="0.3">
      <c r="B68" s="92" t="s">
        <v>77</v>
      </c>
      <c r="C68" s="93" t="s">
        <v>6</v>
      </c>
      <c r="D68" s="94" t="s">
        <v>468</v>
      </c>
      <c r="E68" s="95" t="s">
        <v>10</v>
      </c>
      <c r="F68" s="95">
        <v>2</v>
      </c>
      <c r="G68" s="45">
        <v>16</v>
      </c>
      <c r="H68" s="45">
        <v>16</v>
      </c>
      <c r="I68" s="45">
        <v>10</v>
      </c>
      <c r="J68" s="45">
        <v>12</v>
      </c>
      <c r="K68" s="45">
        <v>6</v>
      </c>
      <c r="L68" s="46">
        <v>4</v>
      </c>
      <c r="M68" s="47">
        <v>0.625</v>
      </c>
      <c r="N68" s="47">
        <v>0.75</v>
      </c>
      <c r="O68" s="45">
        <v>480</v>
      </c>
      <c r="P68" s="96">
        <v>280</v>
      </c>
    </row>
    <row r="69" spans="2:16" x14ac:dyDescent="0.3">
      <c r="B69" s="92" t="s">
        <v>232</v>
      </c>
      <c r="C69" s="93" t="s">
        <v>131</v>
      </c>
      <c r="D69" s="94" t="s">
        <v>55</v>
      </c>
      <c r="E69" s="95" t="s">
        <v>10</v>
      </c>
      <c r="F69" s="95">
        <v>3</v>
      </c>
      <c r="G69" s="45">
        <v>24</v>
      </c>
      <c r="H69" s="45">
        <v>24</v>
      </c>
      <c r="I69" s="45">
        <v>9</v>
      </c>
      <c r="J69" s="45">
        <v>5</v>
      </c>
      <c r="K69" s="45">
        <v>15</v>
      </c>
      <c r="L69" s="46">
        <v>19</v>
      </c>
      <c r="M69" s="47">
        <v>0.375</v>
      </c>
      <c r="N69" s="47">
        <v>0.20833333333333334</v>
      </c>
      <c r="O69" s="45">
        <v>340</v>
      </c>
      <c r="P69" s="96">
        <v>1060</v>
      </c>
    </row>
    <row r="70" spans="2:16" x14ac:dyDescent="0.3">
      <c r="B70" s="92" t="s">
        <v>18</v>
      </c>
      <c r="C70" s="93" t="s">
        <v>13</v>
      </c>
      <c r="D70" s="94" t="s">
        <v>140</v>
      </c>
      <c r="E70" s="95" t="s">
        <v>10</v>
      </c>
      <c r="F70" s="95">
        <v>1</v>
      </c>
      <c r="G70" s="45">
        <v>8</v>
      </c>
      <c r="H70" s="45">
        <v>8</v>
      </c>
      <c r="I70" s="45">
        <v>0</v>
      </c>
      <c r="J70" s="45">
        <v>0</v>
      </c>
      <c r="K70" s="45">
        <v>8</v>
      </c>
      <c r="L70" s="46">
        <v>8</v>
      </c>
      <c r="M70" s="47">
        <v>0</v>
      </c>
      <c r="N70" s="47">
        <v>0</v>
      </c>
      <c r="O70" s="45">
        <v>0</v>
      </c>
      <c r="P70" s="96">
        <v>480</v>
      </c>
    </row>
    <row r="71" spans="2:16" x14ac:dyDescent="0.3">
      <c r="B71" s="99" t="s">
        <v>38</v>
      </c>
      <c r="C71" s="93" t="s">
        <v>13</v>
      </c>
      <c r="D71" s="94" t="s">
        <v>118</v>
      </c>
      <c r="E71" s="95" t="s">
        <v>10</v>
      </c>
      <c r="F71" s="95">
        <v>2</v>
      </c>
      <c r="G71" s="45">
        <v>16</v>
      </c>
      <c r="H71" s="45">
        <v>16</v>
      </c>
      <c r="I71" s="45">
        <v>10</v>
      </c>
      <c r="J71" s="45">
        <v>4</v>
      </c>
      <c r="K71" s="45">
        <v>6</v>
      </c>
      <c r="L71" s="46">
        <v>12</v>
      </c>
      <c r="M71" s="47">
        <v>0.625</v>
      </c>
      <c r="N71" s="47">
        <v>0.25</v>
      </c>
      <c r="O71" s="45">
        <v>200</v>
      </c>
      <c r="P71" s="96">
        <v>600</v>
      </c>
    </row>
    <row r="72" spans="2:16" x14ac:dyDescent="0.3">
      <c r="B72" s="92" t="s">
        <v>303</v>
      </c>
      <c r="C72" s="93" t="s">
        <v>13</v>
      </c>
      <c r="D72" s="94" t="s">
        <v>37</v>
      </c>
      <c r="E72" s="95" t="s">
        <v>3</v>
      </c>
      <c r="F72" s="95">
        <v>1</v>
      </c>
      <c r="G72" s="45">
        <v>4</v>
      </c>
      <c r="H72" s="45">
        <v>2</v>
      </c>
      <c r="I72" s="45">
        <v>0</v>
      </c>
      <c r="J72" s="45">
        <v>0</v>
      </c>
      <c r="K72" s="45">
        <v>4</v>
      </c>
      <c r="L72" s="46">
        <v>2</v>
      </c>
      <c r="M72" s="47">
        <v>0</v>
      </c>
      <c r="N72" s="47">
        <v>0</v>
      </c>
      <c r="O72" s="45">
        <v>0</v>
      </c>
      <c r="P72" s="96">
        <v>160</v>
      </c>
    </row>
    <row r="73" spans="2:16" x14ac:dyDescent="0.3">
      <c r="B73" s="99" t="s">
        <v>435</v>
      </c>
      <c r="C73" s="93" t="s">
        <v>13</v>
      </c>
      <c r="D73" s="94" t="s">
        <v>490</v>
      </c>
      <c r="E73" s="95" t="s">
        <v>17</v>
      </c>
      <c r="F73" s="95">
        <v>1</v>
      </c>
      <c r="G73" s="45">
        <v>6</v>
      </c>
      <c r="H73" s="45">
        <v>6</v>
      </c>
      <c r="I73" s="45">
        <v>0</v>
      </c>
      <c r="J73" s="45">
        <v>0</v>
      </c>
      <c r="K73" s="45">
        <v>6</v>
      </c>
      <c r="L73" s="46">
        <v>6</v>
      </c>
      <c r="M73" s="47">
        <v>0</v>
      </c>
      <c r="N73" s="47">
        <v>0</v>
      </c>
      <c r="O73" s="45">
        <v>0</v>
      </c>
      <c r="P73" s="96">
        <v>360</v>
      </c>
    </row>
    <row r="74" spans="2:16" x14ac:dyDescent="0.3">
      <c r="B74" s="92" t="s">
        <v>174</v>
      </c>
      <c r="C74" s="93" t="s">
        <v>13</v>
      </c>
      <c r="D74" s="94" t="s">
        <v>65</v>
      </c>
      <c r="E74" s="95" t="s">
        <v>3</v>
      </c>
      <c r="F74" s="95">
        <v>2</v>
      </c>
      <c r="G74" s="45">
        <v>8</v>
      </c>
      <c r="H74" s="45">
        <v>4</v>
      </c>
      <c r="I74" s="45">
        <v>0</v>
      </c>
      <c r="J74" s="45">
        <v>0</v>
      </c>
      <c r="K74" s="45">
        <v>8</v>
      </c>
      <c r="L74" s="46">
        <v>4</v>
      </c>
      <c r="M74" s="47">
        <v>0</v>
      </c>
      <c r="N74" s="47">
        <v>0</v>
      </c>
      <c r="O74" s="45">
        <v>0</v>
      </c>
      <c r="P74" s="96">
        <v>320</v>
      </c>
    </row>
    <row r="75" spans="2:16" x14ac:dyDescent="0.3">
      <c r="B75" s="92" t="s">
        <v>362</v>
      </c>
      <c r="C75" s="93" t="s">
        <v>13</v>
      </c>
      <c r="D75" s="94" t="s">
        <v>68</v>
      </c>
      <c r="E75" s="95" t="s">
        <v>3</v>
      </c>
      <c r="F75" s="95">
        <v>1</v>
      </c>
      <c r="G75" s="45">
        <v>4</v>
      </c>
      <c r="H75" s="45">
        <v>2</v>
      </c>
      <c r="I75" s="45">
        <v>0</v>
      </c>
      <c r="J75" s="45">
        <v>0</v>
      </c>
      <c r="K75" s="45">
        <v>4</v>
      </c>
      <c r="L75" s="46">
        <v>2</v>
      </c>
      <c r="M75" s="47">
        <v>0</v>
      </c>
      <c r="N75" s="47">
        <v>0</v>
      </c>
      <c r="O75" s="45">
        <v>0</v>
      </c>
      <c r="P75" s="96">
        <v>160</v>
      </c>
    </row>
    <row r="76" spans="2:16" x14ac:dyDescent="0.3">
      <c r="B76" s="92" t="s">
        <v>407</v>
      </c>
      <c r="C76" s="93" t="s">
        <v>13</v>
      </c>
      <c r="D76" s="94" t="s">
        <v>473</v>
      </c>
      <c r="E76" s="95" t="s">
        <v>10</v>
      </c>
      <c r="F76" s="95">
        <v>1</v>
      </c>
      <c r="G76" s="45">
        <v>8</v>
      </c>
      <c r="H76" s="45">
        <v>8</v>
      </c>
      <c r="I76" s="45">
        <v>0</v>
      </c>
      <c r="J76" s="45">
        <v>0</v>
      </c>
      <c r="K76" s="45">
        <v>8</v>
      </c>
      <c r="L76" s="46">
        <v>8</v>
      </c>
      <c r="M76" s="47">
        <v>0</v>
      </c>
      <c r="N76" s="47">
        <v>0</v>
      </c>
      <c r="O76" s="45">
        <v>0</v>
      </c>
      <c r="P76" s="96">
        <v>480</v>
      </c>
    </row>
    <row r="77" spans="2:16" x14ac:dyDescent="0.3">
      <c r="B77" s="92" t="s">
        <v>121</v>
      </c>
      <c r="C77" s="93" t="s">
        <v>13</v>
      </c>
      <c r="D77" s="94" t="s">
        <v>45</v>
      </c>
      <c r="E77" s="95" t="s">
        <v>3</v>
      </c>
      <c r="F77" s="95">
        <v>1</v>
      </c>
      <c r="G77" s="45">
        <v>4</v>
      </c>
      <c r="H77" s="45">
        <v>2</v>
      </c>
      <c r="I77" s="45">
        <v>0</v>
      </c>
      <c r="J77" s="45">
        <v>0</v>
      </c>
      <c r="K77" s="45">
        <v>4</v>
      </c>
      <c r="L77" s="46">
        <v>2</v>
      </c>
      <c r="M77" s="47">
        <v>0</v>
      </c>
      <c r="N77" s="47">
        <v>0</v>
      </c>
      <c r="O77" s="45">
        <v>0</v>
      </c>
      <c r="P77" s="96">
        <v>160</v>
      </c>
    </row>
    <row r="78" spans="2:16" x14ac:dyDescent="0.3">
      <c r="B78" s="92" t="s">
        <v>392</v>
      </c>
      <c r="C78" s="93" t="s">
        <v>13</v>
      </c>
      <c r="D78" s="94" t="s">
        <v>442</v>
      </c>
      <c r="E78" s="95" t="s">
        <v>3</v>
      </c>
      <c r="F78" s="95">
        <v>1</v>
      </c>
      <c r="G78" s="45">
        <v>4</v>
      </c>
      <c r="H78" s="45">
        <v>2</v>
      </c>
      <c r="I78" s="45">
        <v>0</v>
      </c>
      <c r="J78" s="45">
        <v>0</v>
      </c>
      <c r="K78" s="45">
        <v>4</v>
      </c>
      <c r="L78" s="46">
        <v>2</v>
      </c>
      <c r="M78" s="47">
        <v>0</v>
      </c>
      <c r="N78" s="47">
        <v>0</v>
      </c>
      <c r="O78" s="45">
        <v>0</v>
      </c>
      <c r="P78" s="96">
        <v>160</v>
      </c>
    </row>
    <row r="79" spans="2:16" x14ac:dyDescent="0.3">
      <c r="B79" s="92" t="s">
        <v>143</v>
      </c>
      <c r="C79" s="93" t="s">
        <v>13</v>
      </c>
      <c r="D79" s="94" t="s">
        <v>74</v>
      </c>
      <c r="E79" s="95" t="s">
        <v>3</v>
      </c>
      <c r="F79" s="95">
        <v>2</v>
      </c>
      <c r="G79" s="45">
        <v>8</v>
      </c>
      <c r="H79" s="45">
        <v>4</v>
      </c>
      <c r="I79" s="45">
        <v>2</v>
      </c>
      <c r="J79" s="45">
        <v>2</v>
      </c>
      <c r="K79" s="45">
        <v>6</v>
      </c>
      <c r="L79" s="46">
        <v>2</v>
      </c>
      <c r="M79" s="47">
        <v>0.25</v>
      </c>
      <c r="N79" s="47">
        <v>0.5</v>
      </c>
      <c r="O79" s="45">
        <v>0</v>
      </c>
      <c r="P79" s="96">
        <v>200</v>
      </c>
    </row>
    <row r="80" spans="2:16" x14ac:dyDescent="0.3">
      <c r="B80" s="92" t="s">
        <v>418</v>
      </c>
      <c r="C80" s="93" t="s">
        <v>42</v>
      </c>
      <c r="D80" s="94" t="s">
        <v>478</v>
      </c>
      <c r="E80" s="95" t="s">
        <v>3</v>
      </c>
      <c r="F80" s="95">
        <v>1</v>
      </c>
      <c r="G80" s="45">
        <v>4</v>
      </c>
      <c r="H80" s="45">
        <v>2</v>
      </c>
      <c r="I80" s="45">
        <v>0</v>
      </c>
      <c r="J80" s="45">
        <v>0</v>
      </c>
      <c r="K80" s="45">
        <v>4</v>
      </c>
      <c r="L80" s="46">
        <v>2</v>
      </c>
      <c r="M80" s="47">
        <v>0</v>
      </c>
      <c r="N80" s="47">
        <v>0</v>
      </c>
      <c r="O80" s="45">
        <v>0</v>
      </c>
      <c r="P80" s="96">
        <v>160</v>
      </c>
    </row>
    <row r="81" spans="2:16" x14ac:dyDescent="0.3">
      <c r="B81" s="92" t="s">
        <v>270</v>
      </c>
      <c r="C81" s="93" t="s">
        <v>42</v>
      </c>
      <c r="D81" s="94" t="s">
        <v>130</v>
      </c>
      <c r="E81" s="95" t="s">
        <v>3</v>
      </c>
      <c r="F81" s="95">
        <v>1</v>
      </c>
      <c r="G81" s="45">
        <v>4</v>
      </c>
      <c r="H81" s="45">
        <v>2</v>
      </c>
      <c r="I81" s="45">
        <v>0</v>
      </c>
      <c r="J81" s="45">
        <v>0</v>
      </c>
      <c r="K81" s="45">
        <v>4</v>
      </c>
      <c r="L81" s="46">
        <v>2</v>
      </c>
      <c r="M81" s="47">
        <v>0</v>
      </c>
      <c r="N81" s="47">
        <v>0</v>
      </c>
      <c r="O81" s="45">
        <v>0</v>
      </c>
      <c r="P81" s="96">
        <v>160</v>
      </c>
    </row>
    <row r="82" spans="2:16" x14ac:dyDescent="0.3">
      <c r="B82" s="92" t="s">
        <v>397</v>
      </c>
      <c r="C82" s="93" t="s">
        <v>42</v>
      </c>
      <c r="D82" s="94" t="s">
        <v>443</v>
      </c>
      <c r="E82" s="95" t="s">
        <v>3</v>
      </c>
      <c r="F82" s="95">
        <v>1</v>
      </c>
      <c r="G82" s="45">
        <v>4</v>
      </c>
      <c r="H82" s="45">
        <v>2</v>
      </c>
      <c r="I82" s="45">
        <v>0</v>
      </c>
      <c r="J82" s="45">
        <v>0</v>
      </c>
      <c r="K82" s="45">
        <v>4</v>
      </c>
      <c r="L82" s="46">
        <v>2</v>
      </c>
      <c r="M82" s="47">
        <v>0</v>
      </c>
      <c r="N82" s="47">
        <v>0</v>
      </c>
      <c r="O82" s="45">
        <v>0</v>
      </c>
      <c r="P82" s="96">
        <v>160</v>
      </c>
    </row>
    <row r="83" spans="2:16" x14ac:dyDescent="0.3">
      <c r="B83" s="92" t="s">
        <v>376</v>
      </c>
      <c r="C83" s="93" t="s">
        <v>9</v>
      </c>
      <c r="D83" s="94" t="s">
        <v>444</v>
      </c>
      <c r="E83" s="95" t="s">
        <v>3</v>
      </c>
      <c r="F83" s="95">
        <v>1</v>
      </c>
      <c r="G83" s="45">
        <v>4</v>
      </c>
      <c r="H83" s="45">
        <v>2</v>
      </c>
      <c r="I83" s="45">
        <v>0</v>
      </c>
      <c r="J83" s="45">
        <v>0</v>
      </c>
      <c r="K83" s="45">
        <v>4</v>
      </c>
      <c r="L83" s="46">
        <v>2</v>
      </c>
      <c r="M83" s="47">
        <v>0</v>
      </c>
      <c r="N83" s="47">
        <v>0</v>
      </c>
      <c r="O83" s="45">
        <v>0</v>
      </c>
      <c r="P83" s="96">
        <v>160</v>
      </c>
    </row>
    <row r="84" spans="2:16" x14ac:dyDescent="0.3">
      <c r="B84" s="92" t="s">
        <v>103</v>
      </c>
      <c r="C84" s="93" t="s">
        <v>36</v>
      </c>
      <c r="D84" s="94" t="s">
        <v>59</v>
      </c>
      <c r="E84" s="95" t="s">
        <v>3</v>
      </c>
      <c r="F84" s="95">
        <v>2</v>
      </c>
      <c r="G84" s="45">
        <v>8</v>
      </c>
      <c r="H84" s="45">
        <v>4</v>
      </c>
      <c r="I84" s="45">
        <v>1</v>
      </c>
      <c r="J84" s="45">
        <v>2</v>
      </c>
      <c r="K84" s="45">
        <v>7</v>
      </c>
      <c r="L84" s="46">
        <v>2</v>
      </c>
      <c r="M84" s="47">
        <v>0.125</v>
      </c>
      <c r="N84" s="47">
        <v>0.5</v>
      </c>
      <c r="O84" s="45">
        <v>0</v>
      </c>
      <c r="P84" s="96">
        <v>220</v>
      </c>
    </row>
    <row r="85" spans="2:16" x14ac:dyDescent="0.3">
      <c r="B85" s="92" t="s">
        <v>125</v>
      </c>
      <c r="C85" s="93" t="s">
        <v>6</v>
      </c>
      <c r="D85" s="94" t="s">
        <v>191</v>
      </c>
      <c r="E85" s="95" t="s">
        <v>10</v>
      </c>
      <c r="F85" s="95">
        <v>1</v>
      </c>
      <c r="G85" s="45">
        <v>8</v>
      </c>
      <c r="H85" s="45">
        <v>8</v>
      </c>
      <c r="I85" s="45">
        <v>0</v>
      </c>
      <c r="J85" s="49">
        <v>4</v>
      </c>
      <c r="K85" s="45">
        <v>8</v>
      </c>
      <c r="L85" s="46">
        <v>4</v>
      </c>
      <c r="M85" s="47">
        <v>0</v>
      </c>
      <c r="N85" s="47">
        <v>0.5</v>
      </c>
      <c r="O85" s="45">
        <v>0</v>
      </c>
      <c r="P85" s="96">
        <v>320</v>
      </c>
    </row>
    <row r="86" spans="2:16" x14ac:dyDescent="0.3">
      <c r="B86" s="92" t="s">
        <v>395</v>
      </c>
      <c r="C86" s="93" t="s">
        <v>13</v>
      </c>
      <c r="D86" s="94" t="s">
        <v>445</v>
      </c>
      <c r="E86" s="95" t="s">
        <v>3</v>
      </c>
      <c r="F86" s="95">
        <v>1</v>
      </c>
      <c r="G86" s="45">
        <v>4</v>
      </c>
      <c r="H86" s="45">
        <v>2</v>
      </c>
      <c r="I86" s="45">
        <v>0</v>
      </c>
      <c r="J86" s="45">
        <v>0</v>
      </c>
      <c r="K86" s="45">
        <v>4</v>
      </c>
      <c r="L86" s="46">
        <v>2</v>
      </c>
      <c r="M86" s="47">
        <v>0</v>
      </c>
      <c r="N86" s="47">
        <v>0</v>
      </c>
      <c r="O86" s="45">
        <v>0</v>
      </c>
      <c r="P86" s="96">
        <v>160</v>
      </c>
    </row>
    <row r="87" spans="2:16" x14ac:dyDescent="0.3">
      <c r="B87" s="92" t="s">
        <v>327</v>
      </c>
      <c r="C87" s="93" t="s">
        <v>6</v>
      </c>
      <c r="D87" s="94" t="s">
        <v>84</v>
      </c>
      <c r="E87" s="95" t="s">
        <v>3</v>
      </c>
      <c r="F87" s="95">
        <v>1</v>
      </c>
      <c r="G87" s="45">
        <v>4</v>
      </c>
      <c r="H87" s="45">
        <v>2</v>
      </c>
      <c r="I87" s="45">
        <v>0</v>
      </c>
      <c r="J87" s="45">
        <v>0</v>
      </c>
      <c r="K87" s="45">
        <v>4</v>
      </c>
      <c r="L87" s="46">
        <v>2</v>
      </c>
      <c r="M87" s="47">
        <v>0</v>
      </c>
      <c r="N87" s="47">
        <v>0</v>
      </c>
      <c r="O87" s="45">
        <v>0</v>
      </c>
      <c r="P87" s="96">
        <v>160</v>
      </c>
    </row>
    <row r="88" spans="2:16" x14ac:dyDescent="0.3">
      <c r="B88" s="92" t="s">
        <v>382</v>
      </c>
      <c r="C88" s="93" t="s">
        <v>6</v>
      </c>
      <c r="D88" s="94" t="s">
        <v>446</v>
      </c>
      <c r="E88" s="95" t="s">
        <v>3</v>
      </c>
      <c r="F88" s="95">
        <v>1</v>
      </c>
      <c r="G88" s="45">
        <v>4</v>
      </c>
      <c r="H88" s="45">
        <v>2</v>
      </c>
      <c r="I88" s="45">
        <v>0</v>
      </c>
      <c r="J88" s="45">
        <v>0</v>
      </c>
      <c r="K88" s="45">
        <v>4</v>
      </c>
      <c r="L88" s="46">
        <v>2</v>
      </c>
      <c r="M88" s="47">
        <v>0</v>
      </c>
      <c r="N88" s="47">
        <v>0</v>
      </c>
      <c r="O88" s="45">
        <v>0</v>
      </c>
      <c r="P88" s="96">
        <v>160</v>
      </c>
    </row>
    <row r="89" spans="2:16" x14ac:dyDescent="0.3">
      <c r="B89" s="92" t="s">
        <v>172</v>
      </c>
      <c r="C89" s="93" t="s">
        <v>6</v>
      </c>
      <c r="D89" s="94" t="s">
        <v>40</v>
      </c>
      <c r="E89" s="95" t="s">
        <v>3</v>
      </c>
      <c r="F89" s="95">
        <v>1</v>
      </c>
      <c r="G89" s="45">
        <v>4</v>
      </c>
      <c r="H89" s="45">
        <v>2</v>
      </c>
      <c r="I89" s="45">
        <v>4</v>
      </c>
      <c r="J89" s="45">
        <v>2</v>
      </c>
      <c r="K89" s="45">
        <v>0</v>
      </c>
      <c r="L89" s="46">
        <v>0</v>
      </c>
      <c r="M89" s="47">
        <v>1</v>
      </c>
      <c r="N89" s="47">
        <v>1</v>
      </c>
      <c r="O89" s="45">
        <v>140</v>
      </c>
      <c r="P89" s="96">
        <v>0</v>
      </c>
    </row>
    <row r="90" spans="2:16" x14ac:dyDescent="0.3">
      <c r="B90" s="92" t="s">
        <v>85</v>
      </c>
      <c r="C90" s="93" t="s">
        <v>86</v>
      </c>
      <c r="D90" s="94" t="s">
        <v>104</v>
      </c>
      <c r="E90" s="95" t="s">
        <v>3</v>
      </c>
      <c r="F90" s="95">
        <v>1</v>
      </c>
      <c r="G90" s="45">
        <v>4</v>
      </c>
      <c r="H90" s="45">
        <v>2</v>
      </c>
      <c r="I90" s="45">
        <v>0</v>
      </c>
      <c r="J90" s="45">
        <v>0</v>
      </c>
      <c r="K90" s="45">
        <v>4</v>
      </c>
      <c r="L90" s="46">
        <v>2</v>
      </c>
      <c r="M90" s="47">
        <v>0</v>
      </c>
      <c r="N90" s="47">
        <v>0</v>
      </c>
      <c r="O90" s="45">
        <v>0</v>
      </c>
      <c r="P90" s="96">
        <v>160</v>
      </c>
    </row>
    <row r="91" spans="2:16" x14ac:dyDescent="0.3">
      <c r="B91" s="92" t="s">
        <v>180</v>
      </c>
      <c r="C91" s="93" t="s">
        <v>36</v>
      </c>
      <c r="D91" s="94" t="s">
        <v>120</v>
      </c>
      <c r="E91" s="95" t="s">
        <v>17</v>
      </c>
      <c r="F91" s="95">
        <v>1</v>
      </c>
      <c r="G91" s="45">
        <v>6</v>
      </c>
      <c r="H91" s="45">
        <v>6</v>
      </c>
      <c r="I91" s="45">
        <v>0</v>
      </c>
      <c r="J91" s="45">
        <v>0</v>
      </c>
      <c r="K91" s="45">
        <v>6</v>
      </c>
      <c r="L91" s="46">
        <v>6</v>
      </c>
      <c r="M91" s="47">
        <v>0</v>
      </c>
      <c r="N91" s="47">
        <v>0</v>
      </c>
      <c r="O91" s="45">
        <v>0</v>
      </c>
      <c r="P91" s="96">
        <v>360</v>
      </c>
    </row>
    <row r="92" spans="2:16" x14ac:dyDescent="0.3">
      <c r="B92" s="92" t="s">
        <v>333</v>
      </c>
      <c r="C92" s="93" t="s">
        <v>13</v>
      </c>
      <c r="D92" s="94" t="s">
        <v>92</v>
      </c>
      <c r="E92" s="95" t="s">
        <v>3</v>
      </c>
      <c r="F92" s="95">
        <v>1</v>
      </c>
      <c r="G92" s="45">
        <v>4</v>
      </c>
      <c r="H92" s="45">
        <v>2</v>
      </c>
      <c r="I92" s="45">
        <v>0</v>
      </c>
      <c r="J92" s="45">
        <v>0</v>
      </c>
      <c r="K92" s="45">
        <v>4</v>
      </c>
      <c r="L92" s="46">
        <v>2</v>
      </c>
      <c r="M92" s="47">
        <v>0</v>
      </c>
      <c r="N92" s="47">
        <v>0</v>
      </c>
      <c r="O92" s="45">
        <v>0</v>
      </c>
      <c r="P92" s="96">
        <v>160</v>
      </c>
    </row>
    <row r="93" spans="2:16" x14ac:dyDescent="0.3">
      <c r="B93" s="92" t="s">
        <v>355</v>
      </c>
      <c r="C93" s="93" t="s">
        <v>6</v>
      </c>
      <c r="D93" s="94" t="s">
        <v>447</v>
      </c>
      <c r="E93" s="95" t="s">
        <v>10</v>
      </c>
      <c r="F93" s="95">
        <v>2</v>
      </c>
      <c r="G93" s="45">
        <v>16</v>
      </c>
      <c r="H93" s="45">
        <v>16</v>
      </c>
      <c r="I93" s="45">
        <v>12</v>
      </c>
      <c r="J93" s="45">
        <v>12</v>
      </c>
      <c r="K93" s="45">
        <v>4</v>
      </c>
      <c r="L93" s="46">
        <v>4</v>
      </c>
      <c r="M93" s="47">
        <v>0.75</v>
      </c>
      <c r="N93" s="47">
        <v>0.75</v>
      </c>
      <c r="O93" s="45">
        <v>600</v>
      </c>
      <c r="P93" s="96">
        <v>240</v>
      </c>
    </row>
    <row r="94" spans="2:16" x14ac:dyDescent="0.3">
      <c r="B94" s="92" t="s">
        <v>329</v>
      </c>
      <c r="C94" s="93" t="s">
        <v>42</v>
      </c>
      <c r="D94" s="94" t="s">
        <v>51</v>
      </c>
      <c r="E94" s="95" t="s">
        <v>17</v>
      </c>
      <c r="F94" s="95">
        <v>1</v>
      </c>
      <c r="G94" s="45">
        <v>6</v>
      </c>
      <c r="H94" s="45">
        <v>6</v>
      </c>
      <c r="I94" s="45">
        <v>0</v>
      </c>
      <c r="J94" s="45">
        <v>0</v>
      </c>
      <c r="K94" s="45">
        <v>6</v>
      </c>
      <c r="L94" s="46">
        <v>6</v>
      </c>
      <c r="M94" s="47">
        <v>0</v>
      </c>
      <c r="N94" s="47">
        <v>0</v>
      </c>
      <c r="O94" s="45">
        <v>0</v>
      </c>
      <c r="P94" s="96">
        <v>360</v>
      </c>
    </row>
    <row r="95" spans="2:16" x14ac:dyDescent="0.3">
      <c r="B95" s="92" t="s">
        <v>260</v>
      </c>
      <c r="C95" s="93" t="s">
        <v>2</v>
      </c>
      <c r="D95" s="94" t="s">
        <v>110</v>
      </c>
      <c r="E95" s="95" t="s">
        <v>10</v>
      </c>
      <c r="F95" s="95">
        <v>1</v>
      </c>
      <c r="G95" s="45">
        <v>8</v>
      </c>
      <c r="H95" s="45">
        <v>8</v>
      </c>
      <c r="I95" s="45">
        <v>0</v>
      </c>
      <c r="J95" s="45">
        <v>0</v>
      </c>
      <c r="K95" s="45">
        <v>8</v>
      </c>
      <c r="L95" s="46">
        <v>8</v>
      </c>
      <c r="M95" s="47">
        <v>0</v>
      </c>
      <c r="N95" s="47">
        <v>0</v>
      </c>
      <c r="O95" s="45">
        <v>0</v>
      </c>
      <c r="P95" s="96">
        <v>480</v>
      </c>
    </row>
    <row r="96" spans="2:16" x14ac:dyDescent="0.3">
      <c r="B96" s="92" t="s">
        <v>357</v>
      </c>
      <c r="C96" s="93" t="s">
        <v>530</v>
      </c>
      <c r="D96" s="94" t="s">
        <v>136</v>
      </c>
      <c r="E96" s="95" t="s">
        <v>3</v>
      </c>
      <c r="F96" s="95">
        <v>1</v>
      </c>
      <c r="G96" s="45">
        <v>4</v>
      </c>
      <c r="H96" s="45">
        <v>2</v>
      </c>
      <c r="I96" s="45">
        <v>2</v>
      </c>
      <c r="J96" s="45">
        <v>1</v>
      </c>
      <c r="K96" s="45">
        <v>2</v>
      </c>
      <c r="L96" s="46">
        <v>1</v>
      </c>
      <c r="M96" s="47">
        <v>0.5</v>
      </c>
      <c r="N96" s="47">
        <v>0.5</v>
      </c>
      <c r="O96" s="45">
        <v>40</v>
      </c>
      <c r="P96" s="96">
        <v>80</v>
      </c>
    </row>
    <row r="97" spans="2:16" x14ac:dyDescent="0.3">
      <c r="B97" s="92" t="s">
        <v>50</v>
      </c>
      <c r="C97" s="93" t="s">
        <v>13</v>
      </c>
      <c r="D97" s="94" t="s">
        <v>152</v>
      </c>
      <c r="E97" s="95" t="s">
        <v>3</v>
      </c>
      <c r="F97" s="95">
        <v>1</v>
      </c>
      <c r="G97" s="45">
        <v>4</v>
      </c>
      <c r="H97" s="45">
        <v>2</v>
      </c>
      <c r="I97" s="45">
        <v>2</v>
      </c>
      <c r="J97" s="45">
        <v>2</v>
      </c>
      <c r="K97" s="45">
        <v>2</v>
      </c>
      <c r="L97" s="46">
        <v>0</v>
      </c>
      <c r="M97" s="47">
        <v>0.5</v>
      </c>
      <c r="N97" s="47">
        <v>1</v>
      </c>
      <c r="O97" s="45">
        <v>0</v>
      </c>
      <c r="P97" s="96">
        <v>40</v>
      </c>
    </row>
    <row r="98" spans="2:16" x14ac:dyDescent="0.3">
      <c r="B98" s="99" t="s">
        <v>358</v>
      </c>
      <c r="C98" s="93" t="s">
        <v>13</v>
      </c>
      <c r="D98" s="94" t="s">
        <v>448</v>
      </c>
      <c r="E98" s="95" t="s">
        <v>10</v>
      </c>
      <c r="F98" s="95">
        <v>1</v>
      </c>
      <c r="G98" s="45">
        <v>8</v>
      </c>
      <c r="H98" s="45">
        <v>8</v>
      </c>
      <c r="I98" s="45">
        <v>0</v>
      </c>
      <c r="J98" s="45">
        <v>2</v>
      </c>
      <c r="K98" s="45">
        <v>8</v>
      </c>
      <c r="L98" s="46">
        <v>6</v>
      </c>
      <c r="M98" s="47">
        <v>0</v>
      </c>
      <c r="N98" s="47">
        <v>0.25</v>
      </c>
      <c r="O98" s="45">
        <v>0</v>
      </c>
      <c r="P98" s="96">
        <v>400</v>
      </c>
    </row>
    <row r="99" spans="2:16" x14ac:dyDescent="0.3">
      <c r="B99" s="92" t="s">
        <v>305</v>
      </c>
      <c r="C99" s="93" t="s">
        <v>13</v>
      </c>
      <c r="D99" s="94" t="s">
        <v>215</v>
      </c>
      <c r="E99" s="95" t="s">
        <v>3</v>
      </c>
      <c r="F99" s="95">
        <v>1</v>
      </c>
      <c r="G99" s="45">
        <v>4</v>
      </c>
      <c r="H99" s="45">
        <v>2</v>
      </c>
      <c r="I99" s="45">
        <v>0</v>
      </c>
      <c r="J99" s="45">
        <v>0</v>
      </c>
      <c r="K99" s="45">
        <v>4</v>
      </c>
      <c r="L99" s="46">
        <v>2</v>
      </c>
      <c r="M99" s="47">
        <v>0</v>
      </c>
      <c r="N99" s="47">
        <v>0</v>
      </c>
      <c r="O99" s="45">
        <v>0</v>
      </c>
      <c r="P99" s="96">
        <v>160</v>
      </c>
    </row>
    <row r="100" spans="2:16" x14ac:dyDescent="0.3">
      <c r="B100" s="99" t="s">
        <v>547</v>
      </c>
      <c r="C100" s="93" t="s">
        <v>13</v>
      </c>
      <c r="D100" s="94" t="s">
        <v>548</v>
      </c>
      <c r="E100" s="95" t="s">
        <v>3</v>
      </c>
      <c r="F100" s="95">
        <v>1</v>
      </c>
      <c r="G100" s="45">
        <v>4</v>
      </c>
      <c r="H100" s="45">
        <v>2</v>
      </c>
      <c r="I100" s="45">
        <v>0</v>
      </c>
      <c r="J100" s="45">
        <v>0</v>
      </c>
      <c r="K100" s="45">
        <v>4</v>
      </c>
      <c r="L100" s="46">
        <v>2</v>
      </c>
      <c r="M100" s="47">
        <v>0</v>
      </c>
      <c r="N100" s="47">
        <v>0</v>
      </c>
      <c r="O100" s="45">
        <v>0</v>
      </c>
      <c r="P100" s="96">
        <v>160</v>
      </c>
    </row>
    <row r="101" spans="2:16" x14ac:dyDescent="0.3">
      <c r="B101" s="92" t="s">
        <v>325</v>
      </c>
      <c r="C101" s="93" t="s">
        <v>13</v>
      </c>
      <c r="D101" s="94" t="s">
        <v>193</v>
      </c>
      <c r="E101" s="95" t="s">
        <v>3</v>
      </c>
      <c r="F101" s="95">
        <v>1</v>
      </c>
      <c r="G101" s="45">
        <v>4</v>
      </c>
      <c r="H101" s="45">
        <v>2</v>
      </c>
      <c r="I101" s="45">
        <v>0</v>
      </c>
      <c r="J101" s="45">
        <v>0</v>
      </c>
      <c r="K101" s="45">
        <v>4</v>
      </c>
      <c r="L101" s="46">
        <v>2</v>
      </c>
      <c r="M101" s="47">
        <v>0</v>
      </c>
      <c r="N101" s="47">
        <v>0</v>
      </c>
      <c r="O101" s="45">
        <v>0</v>
      </c>
      <c r="P101" s="96">
        <v>160</v>
      </c>
    </row>
    <row r="102" spans="2:16" x14ac:dyDescent="0.3">
      <c r="B102" s="92" t="s">
        <v>81</v>
      </c>
      <c r="C102" s="93" t="s">
        <v>6</v>
      </c>
      <c r="D102" s="94" t="s">
        <v>181</v>
      </c>
      <c r="E102" s="95" t="s">
        <v>10</v>
      </c>
      <c r="F102" s="95">
        <v>2</v>
      </c>
      <c r="G102" s="45">
        <v>16</v>
      </c>
      <c r="H102" s="45">
        <v>16</v>
      </c>
      <c r="I102" s="45">
        <v>0</v>
      </c>
      <c r="J102" s="45">
        <v>4</v>
      </c>
      <c r="K102" s="45">
        <v>16</v>
      </c>
      <c r="L102" s="46">
        <v>12</v>
      </c>
      <c r="M102" s="47">
        <v>0</v>
      </c>
      <c r="N102" s="47">
        <v>0.25</v>
      </c>
      <c r="O102" s="45">
        <v>0</v>
      </c>
      <c r="P102" s="96">
        <v>800</v>
      </c>
    </row>
    <row r="103" spans="2:16" x14ac:dyDescent="0.3">
      <c r="B103" s="92" t="s">
        <v>366</v>
      </c>
      <c r="C103" s="93" t="s">
        <v>36</v>
      </c>
      <c r="D103" s="94" t="s">
        <v>102</v>
      </c>
      <c r="E103" s="95" t="s">
        <v>3</v>
      </c>
      <c r="F103" s="95">
        <v>1</v>
      </c>
      <c r="G103" s="45">
        <v>4</v>
      </c>
      <c r="H103" s="45">
        <v>2</v>
      </c>
      <c r="I103" s="45">
        <v>0</v>
      </c>
      <c r="J103" s="45">
        <v>0</v>
      </c>
      <c r="K103" s="45">
        <v>4</v>
      </c>
      <c r="L103" s="46">
        <v>2</v>
      </c>
      <c r="M103" s="47">
        <v>0</v>
      </c>
      <c r="N103" s="47">
        <v>0</v>
      </c>
      <c r="O103" s="45">
        <v>0</v>
      </c>
      <c r="P103" s="96">
        <v>160</v>
      </c>
    </row>
    <row r="104" spans="2:16" x14ac:dyDescent="0.3">
      <c r="B104" s="92" t="s">
        <v>433</v>
      </c>
      <c r="C104" s="93" t="s">
        <v>16</v>
      </c>
      <c r="D104" s="94" t="s">
        <v>488</v>
      </c>
      <c r="E104" s="95" t="s">
        <v>10</v>
      </c>
      <c r="F104" s="95">
        <v>1</v>
      </c>
      <c r="G104" s="45">
        <v>8</v>
      </c>
      <c r="H104" s="45">
        <v>8</v>
      </c>
      <c r="I104" s="45">
        <v>0</v>
      </c>
      <c r="J104" s="45">
        <v>0</v>
      </c>
      <c r="K104" s="45">
        <v>8</v>
      </c>
      <c r="L104" s="46">
        <v>8</v>
      </c>
      <c r="M104" s="47">
        <v>0</v>
      </c>
      <c r="N104" s="47">
        <v>0</v>
      </c>
      <c r="O104" s="45">
        <v>0</v>
      </c>
      <c r="P104" s="96">
        <v>480</v>
      </c>
    </row>
    <row r="105" spans="2:16" x14ac:dyDescent="0.3">
      <c r="B105" s="92" t="s">
        <v>280</v>
      </c>
      <c r="C105" s="93" t="s">
        <v>2</v>
      </c>
      <c r="D105" s="94" t="s">
        <v>166</v>
      </c>
      <c r="E105" s="95" t="s">
        <v>3</v>
      </c>
      <c r="F105" s="95">
        <v>1</v>
      </c>
      <c r="G105" s="45">
        <v>4</v>
      </c>
      <c r="H105" s="45">
        <v>2</v>
      </c>
      <c r="I105" s="45">
        <v>0</v>
      </c>
      <c r="J105" s="45">
        <v>0</v>
      </c>
      <c r="K105" s="45">
        <v>4</v>
      </c>
      <c r="L105" s="46">
        <v>2</v>
      </c>
      <c r="M105" s="47">
        <v>0</v>
      </c>
      <c r="N105" s="47">
        <v>0</v>
      </c>
      <c r="O105" s="45">
        <v>0</v>
      </c>
      <c r="P105" s="96">
        <v>160</v>
      </c>
    </row>
    <row r="106" spans="2:16" x14ac:dyDescent="0.3">
      <c r="B106" s="92" t="s">
        <v>15</v>
      </c>
      <c r="C106" s="93" t="s">
        <v>16</v>
      </c>
      <c r="D106" s="94" t="s">
        <v>206</v>
      </c>
      <c r="E106" s="95" t="s">
        <v>17</v>
      </c>
      <c r="F106" s="95">
        <v>1</v>
      </c>
      <c r="G106" s="45">
        <v>6</v>
      </c>
      <c r="H106" s="45">
        <v>6</v>
      </c>
      <c r="I106" s="45">
        <v>0</v>
      </c>
      <c r="J106" s="45">
        <v>0</v>
      </c>
      <c r="K106" s="45">
        <v>6</v>
      </c>
      <c r="L106" s="46">
        <v>6</v>
      </c>
      <c r="M106" s="47">
        <v>0</v>
      </c>
      <c r="N106" s="47">
        <v>0</v>
      </c>
      <c r="O106" s="45">
        <v>0</v>
      </c>
      <c r="P106" s="96">
        <v>360</v>
      </c>
    </row>
    <row r="107" spans="2:16" x14ac:dyDescent="0.3">
      <c r="B107" s="99" t="s">
        <v>549</v>
      </c>
      <c r="C107" s="93" t="s">
        <v>16</v>
      </c>
      <c r="D107" s="94" t="s">
        <v>550</v>
      </c>
      <c r="E107" s="95" t="s">
        <v>17</v>
      </c>
      <c r="F107" s="95">
        <v>1</v>
      </c>
      <c r="G107" s="45">
        <v>6</v>
      </c>
      <c r="H107" s="45">
        <v>6</v>
      </c>
      <c r="I107" s="45">
        <v>0</v>
      </c>
      <c r="J107" s="45">
        <v>0</v>
      </c>
      <c r="K107" s="45">
        <v>6</v>
      </c>
      <c r="L107" s="46">
        <v>6</v>
      </c>
      <c r="M107" s="47">
        <v>0</v>
      </c>
      <c r="N107" s="47">
        <v>0</v>
      </c>
      <c r="O107" s="45">
        <v>0</v>
      </c>
      <c r="P107" s="96">
        <v>360</v>
      </c>
    </row>
    <row r="108" spans="2:16" x14ac:dyDescent="0.3">
      <c r="B108" s="92" t="s">
        <v>69</v>
      </c>
      <c r="C108" s="93" t="s">
        <v>70</v>
      </c>
      <c r="D108" s="94" t="s">
        <v>169</v>
      </c>
      <c r="E108" s="95" t="s">
        <v>3</v>
      </c>
      <c r="F108" s="95">
        <v>1</v>
      </c>
      <c r="G108" s="45">
        <v>4</v>
      </c>
      <c r="H108" s="45">
        <v>2</v>
      </c>
      <c r="I108" s="45">
        <v>0</v>
      </c>
      <c r="J108" s="45">
        <v>0</v>
      </c>
      <c r="K108" s="45">
        <v>4</v>
      </c>
      <c r="L108" s="46">
        <v>2</v>
      </c>
      <c r="M108" s="47">
        <v>0</v>
      </c>
      <c r="N108" s="47">
        <v>0</v>
      </c>
      <c r="O108" s="45">
        <v>0</v>
      </c>
      <c r="P108" s="96">
        <v>160</v>
      </c>
    </row>
    <row r="109" spans="2:16" x14ac:dyDescent="0.3">
      <c r="B109" s="92" t="s">
        <v>46</v>
      </c>
      <c r="C109" s="93" t="s">
        <v>9</v>
      </c>
      <c r="D109" s="94" t="s">
        <v>173</v>
      </c>
      <c r="E109" s="95" t="s">
        <v>3</v>
      </c>
      <c r="F109" s="95">
        <v>1</v>
      </c>
      <c r="G109" s="45">
        <v>4</v>
      </c>
      <c r="H109" s="45">
        <v>2</v>
      </c>
      <c r="I109" s="45">
        <v>2</v>
      </c>
      <c r="J109" s="45">
        <v>2</v>
      </c>
      <c r="K109" s="45">
        <v>2</v>
      </c>
      <c r="L109" s="46">
        <v>0</v>
      </c>
      <c r="M109" s="47">
        <v>0.5</v>
      </c>
      <c r="N109" s="47">
        <v>1</v>
      </c>
      <c r="O109" s="45">
        <v>16</v>
      </c>
      <c r="P109" s="96">
        <v>40</v>
      </c>
    </row>
    <row r="110" spans="2:16" x14ac:dyDescent="0.3">
      <c r="B110" s="92" t="s">
        <v>157</v>
      </c>
      <c r="C110" s="93" t="s">
        <v>9</v>
      </c>
      <c r="D110" s="94" t="s">
        <v>160</v>
      </c>
      <c r="E110" s="95" t="s">
        <v>3</v>
      </c>
      <c r="F110" s="95">
        <v>1</v>
      </c>
      <c r="G110" s="45">
        <v>4</v>
      </c>
      <c r="H110" s="45">
        <v>2</v>
      </c>
      <c r="I110" s="45">
        <v>0</v>
      </c>
      <c r="J110" s="45">
        <v>0</v>
      </c>
      <c r="K110" s="45">
        <v>4</v>
      </c>
      <c r="L110" s="46">
        <v>2</v>
      </c>
      <c r="M110" s="47">
        <v>0</v>
      </c>
      <c r="N110" s="47">
        <v>0</v>
      </c>
      <c r="O110" s="45">
        <v>0</v>
      </c>
      <c r="P110" s="96">
        <v>160</v>
      </c>
    </row>
    <row r="111" spans="2:16" x14ac:dyDescent="0.3">
      <c r="B111" s="99" t="s">
        <v>509</v>
      </c>
      <c r="C111" s="93" t="s">
        <v>9</v>
      </c>
      <c r="D111" s="94" t="s">
        <v>535</v>
      </c>
      <c r="E111" s="95" t="s">
        <v>10</v>
      </c>
      <c r="F111" s="95">
        <v>1</v>
      </c>
      <c r="G111" s="45">
        <v>8</v>
      </c>
      <c r="H111" s="45">
        <v>8</v>
      </c>
      <c r="I111" s="45">
        <v>0</v>
      </c>
      <c r="J111" s="45">
        <v>1</v>
      </c>
      <c r="K111" s="45">
        <v>8</v>
      </c>
      <c r="L111" s="46">
        <v>7</v>
      </c>
      <c r="M111" s="47">
        <v>0</v>
      </c>
      <c r="N111" s="47">
        <v>0.125</v>
      </c>
      <c r="O111" s="45">
        <v>0</v>
      </c>
      <c r="P111" s="96">
        <v>440</v>
      </c>
    </row>
    <row r="112" spans="2:16" x14ac:dyDescent="0.3">
      <c r="B112" s="92" t="s">
        <v>186</v>
      </c>
      <c r="C112" s="93" t="s">
        <v>9</v>
      </c>
      <c r="D112" s="94" t="s">
        <v>187</v>
      </c>
      <c r="E112" s="95" t="s">
        <v>3</v>
      </c>
      <c r="F112" s="95">
        <v>1</v>
      </c>
      <c r="G112" s="45">
        <v>4</v>
      </c>
      <c r="H112" s="45">
        <v>2</v>
      </c>
      <c r="I112" s="45">
        <v>1</v>
      </c>
      <c r="J112" s="45">
        <v>0</v>
      </c>
      <c r="K112" s="45">
        <v>3</v>
      </c>
      <c r="L112" s="46">
        <v>2</v>
      </c>
      <c r="M112" s="47">
        <v>0.25</v>
      </c>
      <c r="N112" s="47">
        <v>0</v>
      </c>
      <c r="O112" s="45">
        <v>0</v>
      </c>
      <c r="P112" s="96">
        <v>140</v>
      </c>
    </row>
    <row r="113" spans="2:16" x14ac:dyDescent="0.3">
      <c r="B113" s="92" t="s">
        <v>238</v>
      </c>
      <c r="C113" s="93" t="s">
        <v>42</v>
      </c>
      <c r="D113" s="94" t="s">
        <v>150</v>
      </c>
      <c r="E113" s="95" t="s">
        <v>3</v>
      </c>
      <c r="F113" s="95">
        <v>1</v>
      </c>
      <c r="G113" s="45">
        <v>4</v>
      </c>
      <c r="H113" s="45">
        <v>2</v>
      </c>
      <c r="I113" s="45">
        <v>1</v>
      </c>
      <c r="J113" s="45">
        <v>1</v>
      </c>
      <c r="K113" s="45">
        <v>3</v>
      </c>
      <c r="L113" s="46">
        <v>1</v>
      </c>
      <c r="M113" s="47">
        <v>0.25</v>
      </c>
      <c r="N113" s="47">
        <v>0.5</v>
      </c>
      <c r="O113" s="45">
        <v>60</v>
      </c>
      <c r="P113" s="96">
        <v>100</v>
      </c>
    </row>
    <row r="114" spans="2:16" x14ac:dyDescent="0.3">
      <c r="B114" s="92" t="s">
        <v>22</v>
      </c>
      <c r="C114" s="93" t="s">
        <v>6</v>
      </c>
      <c r="D114" s="94" t="s">
        <v>219</v>
      </c>
      <c r="E114" s="95" t="s">
        <v>10</v>
      </c>
      <c r="F114" s="95">
        <v>4</v>
      </c>
      <c r="G114" s="45">
        <v>32</v>
      </c>
      <c r="H114" s="45">
        <v>32</v>
      </c>
      <c r="I114" s="45">
        <v>32</v>
      </c>
      <c r="J114" s="45">
        <v>31</v>
      </c>
      <c r="K114" s="45">
        <v>0</v>
      </c>
      <c r="L114" s="46">
        <v>1</v>
      </c>
      <c r="M114" s="47">
        <v>1</v>
      </c>
      <c r="N114" s="47">
        <v>0.96875</v>
      </c>
      <c r="O114" s="45">
        <v>1547</v>
      </c>
      <c r="P114" s="96">
        <v>40</v>
      </c>
    </row>
    <row r="115" spans="2:16" x14ac:dyDescent="0.3">
      <c r="B115" s="101" t="s">
        <v>203</v>
      </c>
      <c r="C115" s="93" t="s">
        <v>6</v>
      </c>
      <c r="D115" s="94" t="s">
        <v>204</v>
      </c>
      <c r="E115" s="95" t="s">
        <v>3</v>
      </c>
      <c r="F115" s="95">
        <v>1</v>
      </c>
      <c r="G115" s="45">
        <v>4</v>
      </c>
      <c r="H115" s="45">
        <v>2</v>
      </c>
      <c r="I115" s="45">
        <v>0</v>
      </c>
      <c r="J115" s="45">
        <v>0</v>
      </c>
      <c r="K115" s="45">
        <v>4</v>
      </c>
      <c r="L115" s="46">
        <v>2</v>
      </c>
      <c r="M115" s="47">
        <v>0</v>
      </c>
      <c r="N115" s="47">
        <v>0</v>
      </c>
      <c r="O115" s="45">
        <v>0</v>
      </c>
      <c r="P115" s="96">
        <v>160</v>
      </c>
    </row>
    <row r="116" spans="2:16" x14ac:dyDescent="0.3">
      <c r="B116" s="92" t="s">
        <v>132</v>
      </c>
      <c r="C116" s="93" t="s">
        <v>6</v>
      </c>
      <c r="D116" s="94" t="s">
        <v>198</v>
      </c>
      <c r="E116" s="95" t="s">
        <v>3</v>
      </c>
      <c r="F116" s="95">
        <v>1</v>
      </c>
      <c r="G116" s="45">
        <v>4</v>
      </c>
      <c r="H116" s="45">
        <v>2</v>
      </c>
      <c r="I116" s="45">
        <v>0</v>
      </c>
      <c r="J116" s="45">
        <v>0</v>
      </c>
      <c r="K116" s="45">
        <v>4</v>
      </c>
      <c r="L116" s="46">
        <v>2</v>
      </c>
      <c r="M116" s="47">
        <v>0</v>
      </c>
      <c r="N116" s="47">
        <v>0</v>
      </c>
      <c r="O116" s="45">
        <v>0</v>
      </c>
      <c r="P116" s="96">
        <v>160</v>
      </c>
    </row>
    <row r="117" spans="2:16" x14ac:dyDescent="0.3">
      <c r="B117" s="92" t="s">
        <v>91</v>
      </c>
      <c r="C117" s="93" t="s">
        <v>2</v>
      </c>
      <c r="D117" s="94" t="s">
        <v>200</v>
      </c>
      <c r="E117" s="95" t="s">
        <v>17</v>
      </c>
      <c r="F117" s="95">
        <v>1</v>
      </c>
      <c r="G117" s="45">
        <v>6</v>
      </c>
      <c r="H117" s="45">
        <v>6</v>
      </c>
      <c r="I117" s="45">
        <v>2</v>
      </c>
      <c r="J117" s="45">
        <v>2</v>
      </c>
      <c r="K117" s="45">
        <v>4</v>
      </c>
      <c r="L117" s="46">
        <v>4</v>
      </c>
      <c r="M117" s="47">
        <v>0.33333333333333331</v>
      </c>
      <c r="N117" s="47">
        <v>0.33333333333333331</v>
      </c>
      <c r="O117" s="45">
        <v>120</v>
      </c>
      <c r="P117" s="96">
        <v>240</v>
      </c>
    </row>
    <row r="118" spans="2:16" x14ac:dyDescent="0.3">
      <c r="B118" s="92" t="s">
        <v>54</v>
      </c>
      <c r="C118" s="93" t="s">
        <v>6</v>
      </c>
      <c r="D118" s="94" t="s">
        <v>223</v>
      </c>
      <c r="E118" s="95" t="s">
        <v>17</v>
      </c>
      <c r="F118" s="95">
        <v>1</v>
      </c>
      <c r="G118" s="45">
        <v>6</v>
      </c>
      <c r="H118" s="45">
        <v>6</v>
      </c>
      <c r="I118" s="45">
        <v>0</v>
      </c>
      <c r="J118" s="45">
        <v>3</v>
      </c>
      <c r="K118" s="45">
        <v>6</v>
      </c>
      <c r="L118" s="46">
        <v>3</v>
      </c>
      <c r="M118" s="47">
        <v>0</v>
      </c>
      <c r="N118" s="47">
        <v>0.5</v>
      </c>
      <c r="O118" s="45">
        <v>120</v>
      </c>
      <c r="P118" s="96">
        <v>240</v>
      </c>
    </row>
    <row r="119" spans="2:16" x14ac:dyDescent="0.3">
      <c r="B119" s="99" t="s">
        <v>400</v>
      </c>
      <c r="C119" s="93" t="s">
        <v>6</v>
      </c>
      <c r="D119" s="94" t="s">
        <v>449</v>
      </c>
      <c r="E119" s="95" t="s">
        <v>10</v>
      </c>
      <c r="F119" s="95">
        <v>1</v>
      </c>
      <c r="G119" s="45">
        <v>8</v>
      </c>
      <c r="H119" s="45">
        <v>8</v>
      </c>
      <c r="I119" s="45">
        <v>0</v>
      </c>
      <c r="J119" s="45">
        <v>4</v>
      </c>
      <c r="K119" s="45">
        <v>8</v>
      </c>
      <c r="L119" s="46">
        <v>4</v>
      </c>
      <c r="M119" s="47">
        <v>0</v>
      </c>
      <c r="N119" s="47">
        <v>0.5</v>
      </c>
      <c r="O119" s="45">
        <v>0</v>
      </c>
      <c r="P119" s="96">
        <v>320</v>
      </c>
    </row>
    <row r="120" spans="2:16" x14ac:dyDescent="0.3">
      <c r="B120" s="92" t="s">
        <v>44</v>
      </c>
      <c r="C120" s="93" t="s">
        <v>42</v>
      </c>
      <c r="D120" s="94" t="s">
        <v>156</v>
      </c>
      <c r="E120" s="95" t="s">
        <v>3</v>
      </c>
      <c r="F120" s="95">
        <v>1</v>
      </c>
      <c r="G120" s="45">
        <v>4</v>
      </c>
      <c r="H120" s="45">
        <v>2</v>
      </c>
      <c r="I120" s="45">
        <v>1</v>
      </c>
      <c r="J120" s="45">
        <v>1</v>
      </c>
      <c r="K120" s="45">
        <v>3</v>
      </c>
      <c r="L120" s="46">
        <v>1</v>
      </c>
      <c r="M120" s="47">
        <v>0.25</v>
      </c>
      <c r="N120" s="47">
        <v>0.5</v>
      </c>
      <c r="O120" s="45">
        <v>0</v>
      </c>
      <c r="P120" s="96">
        <v>100</v>
      </c>
    </row>
    <row r="121" spans="2:16" x14ac:dyDescent="0.3">
      <c r="B121" s="99" t="s">
        <v>258</v>
      </c>
      <c r="C121" s="93" t="s">
        <v>42</v>
      </c>
      <c r="D121" s="94" t="s">
        <v>142</v>
      </c>
      <c r="E121" s="95" t="s">
        <v>17</v>
      </c>
      <c r="F121" s="95">
        <v>1</v>
      </c>
      <c r="G121" s="45">
        <v>6</v>
      </c>
      <c r="H121" s="45">
        <v>6</v>
      </c>
      <c r="I121" s="45">
        <v>0</v>
      </c>
      <c r="J121" s="45">
        <v>2</v>
      </c>
      <c r="K121" s="45">
        <v>6</v>
      </c>
      <c r="L121" s="46">
        <v>4</v>
      </c>
      <c r="M121" s="47">
        <v>0</v>
      </c>
      <c r="N121" s="47">
        <v>0.33333333333333331</v>
      </c>
      <c r="O121" s="45">
        <v>0</v>
      </c>
      <c r="P121" s="96">
        <v>280</v>
      </c>
    </row>
    <row r="122" spans="2:16" x14ac:dyDescent="0.3">
      <c r="B122" s="99" t="s">
        <v>412</v>
      </c>
      <c r="C122" s="93" t="s">
        <v>42</v>
      </c>
      <c r="D122" s="94" t="s">
        <v>477</v>
      </c>
      <c r="E122" s="95" t="s">
        <v>10</v>
      </c>
      <c r="F122" s="95">
        <v>1</v>
      </c>
      <c r="G122" s="45">
        <v>8</v>
      </c>
      <c r="H122" s="45">
        <v>8</v>
      </c>
      <c r="I122" s="45">
        <v>5</v>
      </c>
      <c r="J122" s="45">
        <v>0</v>
      </c>
      <c r="K122" s="45">
        <v>3</v>
      </c>
      <c r="L122" s="46">
        <v>8</v>
      </c>
      <c r="M122" s="47">
        <v>0.625</v>
      </c>
      <c r="N122" s="47">
        <v>0</v>
      </c>
      <c r="O122" s="45">
        <v>0</v>
      </c>
      <c r="P122" s="96">
        <v>380</v>
      </c>
    </row>
    <row r="123" spans="2:16" x14ac:dyDescent="0.3">
      <c r="B123" s="92" t="s">
        <v>75</v>
      </c>
      <c r="C123" s="93" t="s">
        <v>42</v>
      </c>
      <c r="D123" s="94" t="s">
        <v>179</v>
      </c>
      <c r="E123" s="95" t="s">
        <v>3</v>
      </c>
      <c r="F123" s="95">
        <v>1</v>
      </c>
      <c r="G123" s="45">
        <v>4</v>
      </c>
      <c r="H123" s="45">
        <v>2</v>
      </c>
      <c r="I123" s="45">
        <v>0</v>
      </c>
      <c r="J123" s="45">
        <v>2</v>
      </c>
      <c r="K123" s="45">
        <v>4</v>
      </c>
      <c r="L123" s="46">
        <v>0</v>
      </c>
      <c r="M123" s="47">
        <v>0</v>
      </c>
      <c r="N123" s="47">
        <v>1</v>
      </c>
      <c r="O123" s="45">
        <v>0</v>
      </c>
      <c r="P123" s="96">
        <v>80</v>
      </c>
    </row>
    <row r="124" spans="2:16" x14ac:dyDescent="0.3">
      <c r="B124" s="92" t="s">
        <v>253</v>
      </c>
      <c r="C124" s="93" t="s">
        <v>42</v>
      </c>
      <c r="D124" s="94" t="s">
        <v>148</v>
      </c>
      <c r="E124" s="95" t="s">
        <v>17</v>
      </c>
      <c r="F124" s="95">
        <v>1</v>
      </c>
      <c r="G124" s="45">
        <v>6</v>
      </c>
      <c r="H124" s="45">
        <v>6</v>
      </c>
      <c r="I124" s="45">
        <v>2</v>
      </c>
      <c r="J124" s="45">
        <v>1</v>
      </c>
      <c r="K124" s="45">
        <v>4</v>
      </c>
      <c r="L124" s="46">
        <v>5</v>
      </c>
      <c r="M124" s="47">
        <v>0.33333333333333331</v>
      </c>
      <c r="N124" s="47">
        <v>0.16666666666666666</v>
      </c>
      <c r="O124" s="45">
        <v>0</v>
      </c>
      <c r="P124" s="96">
        <v>280</v>
      </c>
    </row>
    <row r="125" spans="2:16" x14ac:dyDescent="0.3">
      <c r="B125" s="92" t="s">
        <v>350</v>
      </c>
      <c r="C125" s="93" t="s">
        <v>42</v>
      </c>
      <c r="D125" s="94" t="s">
        <v>450</v>
      </c>
      <c r="E125" s="95" t="s">
        <v>3</v>
      </c>
      <c r="F125" s="95">
        <v>1</v>
      </c>
      <c r="G125" s="45">
        <v>4</v>
      </c>
      <c r="H125" s="45">
        <v>2</v>
      </c>
      <c r="I125" s="45">
        <v>0</v>
      </c>
      <c r="J125" s="45">
        <v>2</v>
      </c>
      <c r="K125" s="45">
        <v>4</v>
      </c>
      <c r="L125" s="46">
        <v>0</v>
      </c>
      <c r="M125" s="47">
        <v>0</v>
      </c>
      <c r="N125" s="47">
        <v>1</v>
      </c>
      <c r="O125" s="45">
        <v>0</v>
      </c>
      <c r="P125" s="96">
        <v>80</v>
      </c>
    </row>
    <row r="126" spans="2:16" x14ac:dyDescent="0.3">
      <c r="B126" s="92" t="s">
        <v>109</v>
      </c>
      <c r="C126" s="93" t="s">
        <v>2</v>
      </c>
      <c r="D126" s="94" t="s">
        <v>221</v>
      </c>
      <c r="E126" s="95" t="s">
        <v>10</v>
      </c>
      <c r="F126" s="95">
        <v>2</v>
      </c>
      <c r="G126" s="45">
        <v>16</v>
      </c>
      <c r="H126" s="45">
        <v>16</v>
      </c>
      <c r="I126" s="45">
        <v>16</v>
      </c>
      <c r="J126" s="45">
        <v>4</v>
      </c>
      <c r="K126" s="45">
        <v>0</v>
      </c>
      <c r="L126" s="46">
        <v>12</v>
      </c>
      <c r="M126" s="47">
        <v>1</v>
      </c>
      <c r="N126" s="47">
        <v>0.25</v>
      </c>
      <c r="O126" s="45">
        <v>236</v>
      </c>
      <c r="P126" s="96">
        <v>480</v>
      </c>
    </row>
    <row r="127" spans="2:16" x14ac:dyDescent="0.3">
      <c r="B127" s="92" t="s">
        <v>41</v>
      </c>
      <c r="C127" s="93" t="s">
        <v>42</v>
      </c>
      <c r="D127" s="94" t="s">
        <v>146</v>
      </c>
      <c r="E127" s="95" t="s">
        <v>3</v>
      </c>
      <c r="F127" s="95">
        <v>1</v>
      </c>
      <c r="G127" s="45">
        <v>4</v>
      </c>
      <c r="H127" s="45">
        <v>2</v>
      </c>
      <c r="I127" s="45">
        <v>2</v>
      </c>
      <c r="J127" s="45">
        <v>2</v>
      </c>
      <c r="K127" s="45">
        <v>2</v>
      </c>
      <c r="L127" s="46">
        <v>0</v>
      </c>
      <c r="M127" s="47">
        <v>0.5</v>
      </c>
      <c r="N127" s="47">
        <v>1</v>
      </c>
      <c r="O127" s="45">
        <v>0</v>
      </c>
      <c r="P127" s="96">
        <v>40</v>
      </c>
    </row>
    <row r="128" spans="2:16" x14ac:dyDescent="0.3">
      <c r="B128" s="99" t="s">
        <v>380</v>
      </c>
      <c r="C128" s="93" t="s">
        <v>42</v>
      </c>
      <c r="D128" s="94" t="s">
        <v>451</v>
      </c>
      <c r="E128" s="95" t="s">
        <v>17</v>
      </c>
      <c r="F128" s="95">
        <v>1</v>
      </c>
      <c r="G128" s="45">
        <v>6</v>
      </c>
      <c r="H128" s="45">
        <v>6</v>
      </c>
      <c r="I128" s="45">
        <v>0</v>
      </c>
      <c r="J128" s="45">
        <v>2</v>
      </c>
      <c r="K128" s="45">
        <v>6</v>
      </c>
      <c r="L128" s="46">
        <v>4</v>
      </c>
      <c r="M128" s="47">
        <v>0</v>
      </c>
      <c r="N128" s="47">
        <v>0.33333333333333331</v>
      </c>
      <c r="O128" s="45">
        <v>0</v>
      </c>
      <c r="P128" s="96">
        <v>280</v>
      </c>
    </row>
    <row r="129" spans="2:16" x14ac:dyDescent="0.3">
      <c r="B129" s="92" t="s">
        <v>24</v>
      </c>
      <c r="C129" s="93" t="s">
        <v>16</v>
      </c>
      <c r="D129" s="94" t="s">
        <v>144</v>
      </c>
      <c r="E129" s="95" t="s">
        <v>3</v>
      </c>
      <c r="F129" s="95">
        <v>2</v>
      </c>
      <c r="G129" s="45">
        <v>8</v>
      </c>
      <c r="H129" s="45">
        <v>4</v>
      </c>
      <c r="I129" s="45">
        <v>2</v>
      </c>
      <c r="J129" s="45">
        <v>0</v>
      </c>
      <c r="K129" s="45">
        <v>6</v>
      </c>
      <c r="L129" s="46">
        <v>4</v>
      </c>
      <c r="M129" s="47">
        <v>0.25</v>
      </c>
      <c r="N129" s="47">
        <v>0</v>
      </c>
      <c r="O129" s="45">
        <v>0</v>
      </c>
      <c r="P129" s="96">
        <v>280</v>
      </c>
    </row>
    <row r="130" spans="2:16" x14ac:dyDescent="0.3">
      <c r="B130" s="92" t="s">
        <v>155</v>
      </c>
      <c r="C130" s="93" t="s">
        <v>16</v>
      </c>
      <c r="D130" s="94" t="s">
        <v>175</v>
      </c>
      <c r="E130" s="95" t="s">
        <v>3</v>
      </c>
      <c r="F130" s="95">
        <v>1</v>
      </c>
      <c r="G130" s="45">
        <v>4</v>
      </c>
      <c r="H130" s="45">
        <v>2</v>
      </c>
      <c r="I130" s="45">
        <v>2</v>
      </c>
      <c r="J130" s="45">
        <v>0</v>
      </c>
      <c r="K130" s="45">
        <v>2</v>
      </c>
      <c r="L130" s="46">
        <v>2</v>
      </c>
      <c r="M130" s="47">
        <v>0.5</v>
      </c>
      <c r="N130" s="47">
        <v>0</v>
      </c>
      <c r="O130" s="45">
        <v>0</v>
      </c>
      <c r="P130" s="96">
        <v>120</v>
      </c>
    </row>
    <row r="131" spans="2:16" x14ac:dyDescent="0.3">
      <c r="B131" s="92" t="s">
        <v>99</v>
      </c>
      <c r="C131" s="93" t="s">
        <v>13</v>
      </c>
      <c r="D131" s="94" t="s">
        <v>189</v>
      </c>
      <c r="E131" s="95" t="s">
        <v>3</v>
      </c>
      <c r="F131" s="95">
        <v>2</v>
      </c>
      <c r="G131" s="45">
        <v>8</v>
      </c>
      <c r="H131" s="45">
        <v>4</v>
      </c>
      <c r="I131" s="45">
        <v>0</v>
      </c>
      <c r="J131" s="45">
        <v>0</v>
      </c>
      <c r="K131" s="45">
        <v>8</v>
      </c>
      <c r="L131" s="46">
        <v>4</v>
      </c>
      <c r="M131" s="47">
        <v>0</v>
      </c>
      <c r="N131" s="47">
        <v>0</v>
      </c>
      <c r="O131" s="45">
        <v>0</v>
      </c>
      <c r="P131" s="96">
        <v>320</v>
      </c>
    </row>
    <row r="132" spans="2:16" x14ac:dyDescent="0.3">
      <c r="B132" s="92" t="s">
        <v>115</v>
      </c>
      <c r="C132" s="93" t="s">
        <v>13</v>
      </c>
      <c r="D132" s="94" t="s">
        <v>195</v>
      </c>
      <c r="E132" s="95" t="s">
        <v>17</v>
      </c>
      <c r="F132" s="95">
        <v>2</v>
      </c>
      <c r="G132" s="45">
        <v>12</v>
      </c>
      <c r="H132" s="45">
        <v>12</v>
      </c>
      <c r="I132" s="45">
        <v>0</v>
      </c>
      <c r="J132" s="45">
        <v>0</v>
      </c>
      <c r="K132" s="45">
        <v>12</v>
      </c>
      <c r="L132" s="46">
        <v>12</v>
      </c>
      <c r="M132" s="47">
        <v>0</v>
      </c>
      <c r="N132" s="47">
        <v>0</v>
      </c>
      <c r="O132" s="45">
        <v>0</v>
      </c>
      <c r="P132" s="96">
        <v>720</v>
      </c>
    </row>
    <row r="133" spans="2:16" x14ac:dyDescent="0.3">
      <c r="B133" s="92" t="s">
        <v>510</v>
      </c>
      <c r="C133" s="93" t="s">
        <v>13</v>
      </c>
      <c r="D133" s="94" t="s">
        <v>533</v>
      </c>
      <c r="E133" s="95" t="s">
        <v>3</v>
      </c>
      <c r="F133" s="95">
        <v>1</v>
      </c>
      <c r="G133" s="45">
        <v>4</v>
      </c>
      <c r="H133" s="45">
        <v>2</v>
      </c>
      <c r="I133" s="45">
        <v>0</v>
      </c>
      <c r="J133" s="45">
        <v>0</v>
      </c>
      <c r="K133" s="45">
        <v>4</v>
      </c>
      <c r="L133" s="46">
        <v>2</v>
      </c>
      <c r="M133" s="47">
        <v>0</v>
      </c>
      <c r="N133" s="47">
        <v>0</v>
      </c>
      <c r="O133" s="45">
        <v>0</v>
      </c>
      <c r="P133" s="96">
        <v>160</v>
      </c>
    </row>
    <row r="134" spans="2:16" x14ac:dyDescent="0.3">
      <c r="B134" s="92" t="s">
        <v>60</v>
      </c>
      <c r="C134" s="93" t="s">
        <v>13</v>
      </c>
      <c r="D134" s="94" t="s">
        <v>162</v>
      </c>
      <c r="E134" s="95" t="s">
        <v>3</v>
      </c>
      <c r="F134" s="95">
        <v>1</v>
      </c>
      <c r="G134" s="45">
        <v>4</v>
      </c>
      <c r="H134" s="45">
        <v>2</v>
      </c>
      <c r="I134" s="45">
        <v>2</v>
      </c>
      <c r="J134" s="45">
        <v>2</v>
      </c>
      <c r="K134" s="45">
        <v>2</v>
      </c>
      <c r="L134" s="46">
        <v>0</v>
      </c>
      <c r="M134" s="47">
        <v>0.5</v>
      </c>
      <c r="N134" s="47">
        <v>1</v>
      </c>
      <c r="O134" s="45">
        <v>0</v>
      </c>
      <c r="P134" s="96">
        <v>40</v>
      </c>
    </row>
    <row r="135" spans="2:16" x14ac:dyDescent="0.3">
      <c r="B135" s="99" t="s">
        <v>348</v>
      </c>
      <c r="C135" s="93" t="s">
        <v>13</v>
      </c>
      <c r="D135" s="94" t="s">
        <v>213</v>
      </c>
      <c r="E135" s="95" t="s">
        <v>3</v>
      </c>
      <c r="F135" s="95">
        <v>2</v>
      </c>
      <c r="G135" s="45">
        <v>8</v>
      </c>
      <c r="H135" s="45">
        <v>4</v>
      </c>
      <c r="I135" s="45">
        <v>2</v>
      </c>
      <c r="J135" s="45">
        <v>2</v>
      </c>
      <c r="K135" s="45">
        <v>6</v>
      </c>
      <c r="L135" s="46">
        <v>2</v>
      </c>
      <c r="M135" s="47">
        <v>0.25</v>
      </c>
      <c r="N135" s="47">
        <v>0.5</v>
      </c>
      <c r="O135" s="45">
        <v>120</v>
      </c>
      <c r="P135" s="96">
        <v>200</v>
      </c>
    </row>
    <row r="136" spans="2:16" x14ac:dyDescent="0.3">
      <c r="B136" s="92" t="s">
        <v>199</v>
      </c>
      <c r="C136" s="93" t="s">
        <v>13</v>
      </c>
      <c r="D136" s="94" t="s">
        <v>222</v>
      </c>
      <c r="E136" s="95" t="s">
        <v>3</v>
      </c>
      <c r="F136" s="95">
        <v>1</v>
      </c>
      <c r="G136" s="45">
        <v>4</v>
      </c>
      <c r="H136" s="45">
        <v>2</v>
      </c>
      <c r="I136" s="45">
        <v>0</v>
      </c>
      <c r="J136" s="45">
        <v>0</v>
      </c>
      <c r="K136" s="45">
        <v>4</v>
      </c>
      <c r="L136" s="46">
        <v>2</v>
      </c>
      <c r="M136" s="47">
        <v>0</v>
      </c>
      <c r="N136" s="47">
        <v>0</v>
      </c>
      <c r="O136" s="45">
        <v>0</v>
      </c>
      <c r="P136" s="96">
        <v>160</v>
      </c>
    </row>
    <row r="137" spans="2:16" x14ac:dyDescent="0.3">
      <c r="B137" s="92" t="s">
        <v>415</v>
      </c>
      <c r="C137" s="93" t="s">
        <v>386</v>
      </c>
      <c r="D137" s="94" t="s">
        <v>482</v>
      </c>
      <c r="E137" s="95" t="s">
        <v>3</v>
      </c>
      <c r="F137" s="95">
        <v>1</v>
      </c>
      <c r="G137" s="45">
        <v>4</v>
      </c>
      <c r="H137" s="45">
        <v>2</v>
      </c>
      <c r="I137" s="45">
        <v>0</v>
      </c>
      <c r="J137" s="45">
        <v>0</v>
      </c>
      <c r="K137" s="45">
        <v>4</v>
      </c>
      <c r="L137" s="46">
        <v>2</v>
      </c>
      <c r="M137" s="47">
        <v>0</v>
      </c>
      <c r="N137" s="47">
        <v>0</v>
      </c>
      <c r="O137" s="45">
        <v>0</v>
      </c>
      <c r="P137" s="96">
        <v>160</v>
      </c>
    </row>
    <row r="138" spans="2:16" x14ac:dyDescent="0.3">
      <c r="B138" s="92" t="s">
        <v>335</v>
      </c>
      <c r="C138" s="93" t="s">
        <v>9</v>
      </c>
      <c r="D138" s="94" t="s">
        <v>171</v>
      </c>
      <c r="E138" s="95" t="s">
        <v>3</v>
      </c>
      <c r="F138" s="95">
        <v>1</v>
      </c>
      <c r="G138" s="45">
        <v>4</v>
      </c>
      <c r="H138" s="45">
        <v>2</v>
      </c>
      <c r="I138" s="45">
        <v>1</v>
      </c>
      <c r="J138" s="45">
        <v>0</v>
      </c>
      <c r="K138" s="45">
        <v>3</v>
      </c>
      <c r="L138" s="46">
        <v>2</v>
      </c>
      <c r="M138" s="47">
        <v>0.25</v>
      </c>
      <c r="N138" s="47">
        <v>0</v>
      </c>
      <c r="O138" s="45">
        <v>0</v>
      </c>
      <c r="P138" s="96">
        <v>140</v>
      </c>
    </row>
    <row r="139" spans="2:16" x14ac:dyDescent="0.3">
      <c r="B139" s="92" t="s">
        <v>184</v>
      </c>
      <c r="C139" s="93" t="s">
        <v>6</v>
      </c>
      <c r="D139" s="94" t="s">
        <v>177</v>
      </c>
      <c r="E139" s="95" t="s">
        <v>10</v>
      </c>
      <c r="F139" s="95">
        <v>3</v>
      </c>
      <c r="G139" s="45">
        <v>24</v>
      </c>
      <c r="H139" s="45">
        <v>24</v>
      </c>
      <c r="I139" s="45">
        <v>13</v>
      </c>
      <c r="J139" s="45">
        <v>13</v>
      </c>
      <c r="K139" s="45">
        <v>11</v>
      </c>
      <c r="L139" s="46">
        <v>11</v>
      </c>
      <c r="M139" s="47">
        <v>0.54166666666666663</v>
      </c>
      <c r="N139" s="47">
        <v>0.54166666666666663</v>
      </c>
      <c r="O139" s="45">
        <v>600</v>
      </c>
      <c r="P139" s="96">
        <v>660</v>
      </c>
    </row>
    <row r="140" spans="2:16" x14ac:dyDescent="0.3">
      <c r="B140" s="92" t="s">
        <v>390</v>
      </c>
      <c r="C140" s="93" t="s">
        <v>36</v>
      </c>
      <c r="D140" s="94" t="s">
        <v>452</v>
      </c>
      <c r="E140" s="95" t="s">
        <v>17</v>
      </c>
      <c r="F140" s="95">
        <v>1</v>
      </c>
      <c r="G140" s="45">
        <v>6</v>
      </c>
      <c r="H140" s="45">
        <v>6</v>
      </c>
      <c r="I140" s="45">
        <v>0</v>
      </c>
      <c r="J140" s="45">
        <v>2</v>
      </c>
      <c r="K140" s="45">
        <v>6</v>
      </c>
      <c r="L140" s="46">
        <v>4</v>
      </c>
      <c r="M140" s="47">
        <v>0</v>
      </c>
      <c r="N140" s="47">
        <v>0.33333333333333331</v>
      </c>
      <c r="O140" s="45">
        <v>0</v>
      </c>
      <c r="P140" s="96">
        <v>280</v>
      </c>
    </row>
    <row r="141" spans="2:16" x14ac:dyDescent="0.3">
      <c r="B141" s="92" t="s">
        <v>201</v>
      </c>
      <c r="C141" s="93" t="s">
        <v>13</v>
      </c>
      <c r="D141" s="94" t="s">
        <v>185</v>
      </c>
      <c r="E141" s="95" t="s">
        <v>3</v>
      </c>
      <c r="F141" s="95">
        <v>1</v>
      </c>
      <c r="G141" s="45">
        <v>4</v>
      </c>
      <c r="H141" s="45">
        <v>2</v>
      </c>
      <c r="I141" s="45">
        <v>0</v>
      </c>
      <c r="J141" s="45">
        <v>0</v>
      </c>
      <c r="K141" s="45">
        <v>4</v>
      </c>
      <c r="L141" s="46">
        <v>2</v>
      </c>
      <c r="M141" s="47">
        <v>0</v>
      </c>
      <c r="N141" s="47">
        <v>0</v>
      </c>
      <c r="O141" s="45">
        <v>0</v>
      </c>
      <c r="P141" s="102">
        <v>160</v>
      </c>
    </row>
    <row r="142" spans="2:16" x14ac:dyDescent="0.3">
      <c r="B142" s="92" t="s">
        <v>399</v>
      </c>
      <c r="C142" s="93" t="s">
        <v>13</v>
      </c>
      <c r="D142" s="94" t="s">
        <v>453</v>
      </c>
      <c r="E142" s="95" t="s">
        <v>3</v>
      </c>
      <c r="F142" s="95">
        <v>1</v>
      </c>
      <c r="G142" s="45">
        <v>4</v>
      </c>
      <c r="H142" s="45">
        <v>2</v>
      </c>
      <c r="I142" s="45">
        <v>0</v>
      </c>
      <c r="J142" s="45">
        <v>0</v>
      </c>
      <c r="K142" s="45">
        <v>4</v>
      </c>
      <c r="L142" s="46">
        <v>2</v>
      </c>
      <c r="M142" s="47">
        <v>0</v>
      </c>
      <c r="N142" s="47">
        <v>0</v>
      </c>
      <c r="O142" s="45">
        <v>0</v>
      </c>
      <c r="P142" s="96">
        <v>160</v>
      </c>
    </row>
    <row r="143" spans="2:16" x14ac:dyDescent="0.3">
      <c r="B143" s="92" t="s">
        <v>256</v>
      </c>
      <c r="C143" s="93" t="s">
        <v>2</v>
      </c>
      <c r="D143" s="94" t="s">
        <v>183</v>
      </c>
      <c r="E143" s="95" t="s">
        <v>3</v>
      </c>
      <c r="F143" s="95">
        <v>1</v>
      </c>
      <c r="G143" s="45">
        <v>4</v>
      </c>
      <c r="H143" s="45">
        <v>2</v>
      </c>
      <c r="I143" s="45">
        <v>0</v>
      </c>
      <c r="J143" s="45">
        <v>0</v>
      </c>
      <c r="K143" s="45">
        <v>4</v>
      </c>
      <c r="L143" s="46">
        <v>2</v>
      </c>
      <c r="M143" s="47">
        <v>0</v>
      </c>
      <c r="N143" s="47">
        <v>0</v>
      </c>
      <c r="O143" s="45">
        <v>0</v>
      </c>
      <c r="P143" s="96">
        <v>160</v>
      </c>
    </row>
    <row r="144" spans="2:16" x14ac:dyDescent="0.3">
      <c r="B144" s="92" t="s">
        <v>137</v>
      </c>
      <c r="C144" s="93" t="s">
        <v>9</v>
      </c>
      <c r="D144" s="94" t="s">
        <v>164</v>
      </c>
      <c r="E144" s="95" t="s">
        <v>3</v>
      </c>
      <c r="F144" s="95">
        <v>1</v>
      </c>
      <c r="G144" s="45">
        <v>4</v>
      </c>
      <c r="H144" s="45">
        <v>2</v>
      </c>
      <c r="I144" s="45">
        <v>0</v>
      </c>
      <c r="J144" s="45">
        <v>0</v>
      </c>
      <c r="K144" s="45">
        <v>4</v>
      </c>
      <c r="L144" s="46">
        <v>2</v>
      </c>
      <c r="M144" s="47">
        <v>0</v>
      </c>
      <c r="N144" s="47">
        <v>0</v>
      </c>
      <c r="O144" s="45">
        <v>0</v>
      </c>
      <c r="P144" s="96">
        <v>160</v>
      </c>
    </row>
    <row r="145" spans="2:16" x14ac:dyDescent="0.3">
      <c r="B145" s="92" t="s">
        <v>190</v>
      </c>
      <c r="C145" s="93" t="s">
        <v>6</v>
      </c>
      <c r="D145" s="94" t="s">
        <v>202</v>
      </c>
      <c r="E145" s="95" t="s">
        <v>3</v>
      </c>
      <c r="F145" s="95">
        <v>1</v>
      </c>
      <c r="G145" s="45">
        <v>4</v>
      </c>
      <c r="H145" s="45">
        <v>2</v>
      </c>
      <c r="I145" s="45">
        <v>0</v>
      </c>
      <c r="J145" s="45">
        <v>0</v>
      </c>
      <c r="K145" s="45">
        <v>4</v>
      </c>
      <c r="L145" s="46">
        <v>2</v>
      </c>
      <c r="M145" s="47">
        <v>0</v>
      </c>
      <c r="N145" s="47">
        <v>0</v>
      </c>
      <c r="O145" s="45">
        <v>0</v>
      </c>
      <c r="P145" s="96">
        <v>160</v>
      </c>
    </row>
    <row r="146" spans="2:16" x14ac:dyDescent="0.3">
      <c r="B146" s="92" t="s">
        <v>29</v>
      </c>
      <c r="C146" s="93" t="s">
        <v>13</v>
      </c>
      <c r="D146" s="94" t="s">
        <v>208</v>
      </c>
      <c r="E146" s="95" t="s">
        <v>3</v>
      </c>
      <c r="F146" s="95">
        <v>2</v>
      </c>
      <c r="G146" s="45">
        <v>8</v>
      </c>
      <c r="H146" s="45">
        <v>4</v>
      </c>
      <c r="I146" s="45">
        <v>0</v>
      </c>
      <c r="J146" s="45">
        <v>0</v>
      </c>
      <c r="K146" s="45">
        <v>8</v>
      </c>
      <c r="L146" s="46">
        <v>4</v>
      </c>
      <c r="M146" s="47">
        <v>0</v>
      </c>
      <c r="N146" s="47">
        <v>0</v>
      </c>
      <c r="O146" s="45">
        <v>0</v>
      </c>
      <c r="P146" s="96">
        <v>320</v>
      </c>
    </row>
    <row r="147" spans="2:16" x14ac:dyDescent="0.3">
      <c r="B147" s="92" t="s">
        <v>387</v>
      </c>
      <c r="C147" s="93" t="s">
        <v>36</v>
      </c>
      <c r="D147" s="94" t="s">
        <v>454</v>
      </c>
      <c r="E147" s="95" t="s">
        <v>3</v>
      </c>
      <c r="F147" s="95">
        <v>1</v>
      </c>
      <c r="G147" s="45">
        <v>4</v>
      </c>
      <c r="H147" s="45">
        <v>2</v>
      </c>
      <c r="I147" s="45">
        <v>0</v>
      </c>
      <c r="J147" s="45">
        <v>0</v>
      </c>
      <c r="K147" s="45">
        <v>4</v>
      </c>
      <c r="L147" s="46">
        <v>2</v>
      </c>
      <c r="M147" s="47">
        <v>0</v>
      </c>
      <c r="N147" s="47">
        <v>0</v>
      </c>
      <c r="O147" s="45">
        <v>0</v>
      </c>
      <c r="P147" s="96">
        <v>160</v>
      </c>
    </row>
    <row r="148" spans="2:16" x14ac:dyDescent="0.3">
      <c r="B148" s="92" t="s">
        <v>310</v>
      </c>
      <c r="C148" s="93" t="s">
        <v>168</v>
      </c>
      <c r="D148" s="94" t="s">
        <v>217</v>
      </c>
      <c r="E148" s="95" t="s">
        <v>3</v>
      </c>
      <c r="F148" s="95">
        <v>1</v>
      </c>
      <c r="G148" s="45">
        <v>4</v>
      </c>
      <c r="H148" s="45">
        <v>2</v>
      </c>
      <c r="I148" s="45">
        <v>0</v>
      </c>
      <c r="J148" s="45">
        <v>0</v>
      </c>
      <c r="K148" s="45">
        <v>4</v>
      </c>
      <c r="L148" s="46">
        <v>2</v>
      </c>
      <c r="M148" s="47">
        <v>0</v>
      </c>
      <c r="N148" s="47">
        <v>0</v>
      </c>
      <c r="O148" s="45">
        <v>0</v>
      </c>
      <c r="P148" s="96">
        <v>160</v>
      </c>
    </row>
    <row r="149" spans="2:16" x14ac:dyDescent="0.3">
      <c r="B149" s="92" t="s">
        <v>196</v>
      </c>
      <c r="C149" s="93" t="s">
        <v>6</v>
      </c>
      <c r="D149" s="94" t="s">
        <v>154</v>
      </c>
      <c r="E149" s="95" t="s">
        <v>3</v>
      </c>
      <c r="F149" s="95">
        <v>1</v>
      </c>
      <c r="G149" s="45">
        <v>4</v>
      </c>
      <c r="H149" s="45">
        <v>2</v>
      </c>
      <c r="I149" s="45">
        <v>3</v>
      </c>
      <c r="J149" s="45">
        <v>0</v>
      </c>
      <c r="K149" s="45">
        <v>1</v>
      </c>
      <c r="L149" s="46">
        <v>2</v>
      </c>
      <c r="M149" s="47">
        <v>0.75</v>
      </c>
      <c r="N149" s="47">
        <v>0</v>
      </c>
      <c r="O149" s="45">
        <v>0</v>
      </c>
      <c r="P149" s="96">
        <v>100</v>
      </c>
    </row>
    <row r="150" spans="2:16" x14ac:dyDescent="0.3">
      <c r="B150" s="92" t="s">
        <v>391</v>
      </c>
      <c r="C150" s="93" t="s">
        <v>2</v>
      </c>
      <c r="D150" s="94" t="s">
        <v>455</v>
      </c>
      <c r="E150" s="95" t="s">
        <v>10</v>
      </c>
      <c r="F150" s="95">
        <v>1</v>
      </c>
      <c r="G150" s="45">
        <v>8</v>
      </c>
      <c r="H150" s="45">
        <v>8</v>
      </c>
      <c r="I150" s="45">
        <v>0</v>
      </c>
      <c r="J150" s="45">
        <v>0</v>
      </c>
      <c r="K150" s="45">
        <v>8</v>
      </c>
      <c r="L150" s="46">
        <v>8</v>
      </c>
      <c r="M150" s="47">
        <v>0</v>
      </c>
      <c r="N150" s="47">
        <v>0</v>
      </c>
      <c r="O150" s="45">
        <v>0</v>
      </c>
      <c r="P150" s="46">
        <v>480</v>
      </c>
    </row>
    <row r="151" spans="2:16" x14ac:dyDescent="0.3">
      <c r="B151" s="92" t="s">
        <v>513</v>
      </c>
      <c r="C151" s="93" t="s">
        <v>2</v>
      </c>
      <c r="D151" s="94" t="s">
        <v>534</v>
      </c>
      <c r="E151" s="95" t="s">
        <v>3</v>
      </c>
      <c r="F151" s="95">
        <v>1</v>
      </c>
      <c r="G151" s="45">
        <v>4</v>
      </c>
      <c r="H151" s="45">
        <v>2</v>
      </c>
      <c r="I151" s="45">
        <v>0</v>
      </c>
      <c r="J151" s="45">
        <v>0</v>
      </c>
      <c r="K151" s="45">
        <v>4</v>
      </c>
      <c r="L151" s="45">
        <v>2</v>
      </c>
      <c r="M151" s="47">
        <v>0</v>
      </c>
      <c r="N151" s="47">
        <v>0</v>
      </c>
      <c r="O151" s="45">
        <v>0</v>
      </c>
      <c r="P151" s="96">
        <v>160</v>
      </c>
    </row>
    <row r="152" spans="2:16" x14ac:dyDescent="0.3">
      <c r="B152" s="92" t="s">
        <v>170</v>
      </c>
      <c r="C152" s="93" t="s">
        <v>2</v>
      </c>
      <c r="D152" s="94" t="s">
        <v>210</v>
      </c>
      <c r="E152" s="95" t="s">
        <v>10</v>
      </c>
      <c r="F152" s="95">
        <v>2</v>
      </c>
      <c r="G152" s="45">
        <v>16</v>
      </c>
      <c r="H152" s="45">
        <v>16</v>
      </c>
      <c r="I152" s="45">
        <v>0</v>
      </c>
      <c r="J152" s="45">
        <v>1</v>
      </c>
      <c r="K152" s="45">
        <v>16</v>
      </c>
      <c r="L152" s="46">
        <v>15</v>
      </c>
      <c r="M152" s="47">
        <v>0</v>
      </c>
      <c r="N152" s="47">
        <v>6.25E-2</v>
      </c>
      <c r="O152" s="45">
        <v>0</v>
      </c>
      <c r="P152" s="96">
        <v>920</v>
      </c>
    </row>
    <row r="153" spans="2:16" x14ac:dyDescent="0.3">
      <c r="B153" s="92" t="s">
        <v>56</v>
      </c>
      <c r="C153" s="93" t="s">
        <v>2</v>
      </c>
      <c r="D153" s="94" t="s">
        <v>261</v>
      </c>
      <c r="E153" s="95" t="s">
        <v>17</v>
      </c>
      <c r="F153" s="95">
        <v>1</v>
      </c>
      <c r="G153" s="45">
        <v>6</v>
      </c>
      <c r="H153" s="45">
        <v>6</v>
      </c>
      <c r="I153" s="45">
        <v>0</v>
      </c>
      <c r="J153" s="45">
        <v>0</v>
      </c>
      <c r="K153" s="45">
        <v>6</v>
      </c>
      <c r="L153" s="46">
        <v>6</v>
      </c>
      <c r="M153" s="47">
        <v>0</v>
      </c>
      <c r="N153" s="47">
        <v>0</v>
      </c>
      <c r="O153" s="45">
        <v>0</v>
      </c>
      <c r="P153" s="96">
        <v>360</v>
      </c>
    </row>
    <row r="154" spans="2:16" x14ac:dyDescent="0.3">
      <c r="B154" s="99" t="s">
        <v>378</v>
      </c>
      <c r="C154" s="93" t="s">
        <v>2</v>
      </c>
      <c r="D154" s="94" t="s">
        <v>456</v>
      </c>
      <c r="E154" s="95" t="s">
        <v>10</v>
      </c>
      <c r="F154" s="95">
        <v>1</v>
      </c>
      <c r="G154" s="45">
        <v>8</v>
      </c>
      <c r="H154" s="45">
        <v>8</v>
      </c>
      <c r="I154" s="45">
        <v>0</v>
      </c>
      <c r="J154" s="45">
        <v>0</v>
      </c>
      <c r="K154" s="45">
        <v>8</v>
      </c>
      <c r="L154" s="46">
        <v>8</v>
      </c>
      <c r="M154" s="47">
        <v>0</v>
      </c>
      <c r="N154" s="47">
        <v>0</v>
      </c>
      <c r="O154" s="45">
        <v>0</v>
      </c>
      <c r="P154" s="96">
        <v>480</v>
      </c>
    </row>
    <row r="155" spans="2:16" x14ac:dyDescent="0.3">
      <c r="B155" s="92" t="s">
        <v>551</v>
      </c>
      <c r="C155" s="93" t="s">
        <v>2</v>
      </c>
      <c r="D155" s="94" t="s">
        <v>552</v>
      </c>
      <c r="E155" s="95" t="s">
        <v>10</v>
      </c>
      <c r="F155" s="95">
        <v>1</v>
      </c>
      <c r="G155" s="45">
        <v>8</v>
      </c>
      <c r="H155" s="45">
        <v>8</v>
      </c>
      <c r="I155" s="45">
        <v>0</v>
      </c>
      <c r="J155" s="45">
        <v>0</v>
      </c>
      <c r="K155" s="45">
        <v>8</v>
      </c>
      <c r="L155" s="46">
        <v>8</v>
      </c>
      <c r="M155" s="47">
        <v>0</v>
      </c>
      <c r="N155" s="47">
        <v>0</v>
      </c>
      <c r="O155" s="45">
        <v>0</v>
      </c>
      <c r="P155" s="96">
        <v>480</v>
      </c>
    </row>
    <row r="156" spans="2:16" x14ac:dyDescent="0.3">
      <c r="B156" s="92" t="s">
        <v>312</v>
      </c>
      <c r="C156" s="93" t="s">
        <v>2</v>
      </c>
      <c r="D156" s="94" t="s">
        <v>249</v>
      </c>
      <c r="E156" s="95" t="s">
        <v>3</v>
      </c>
      <c r="F156" s="95">
        <v>1</v>
      </c>
      <c r="G156" s="45">
        <v>4</v>
      </c>
      <c r="H156" s="45">
        <v>2</v>
      </c>
      <c r="I156" s="45">
        <v>0</v>
      </c>
      <c r="J156" s="45">
        <v>0</v>
      </c>
      <c r="K156" s="45">
        <v>4</v>
      </c>
      <c r="L156" s="46">
        <v>2</v>
      </c>
      <c r="M156" s="47">
        <v>0</v>
      </c>
      <c r="N156" s="47">
        <v>0</v>
      </c>
      <c r="O156" s="45">
        <v>0</v>
      </c>
      <c r="P156" s="96">
        <v>160</v>
      </c>
    </row>
    <row r="157" spans="2:16" s="28" customFormat="1" x14ac:dyDescent="0.3">
      <c r="B157" s="92" t="s">
        <v>58</v>
      </c>
      <c r="C157" s="93" t="s">
        <v>2</v>
      </c>
      <c r="D157" s="94" t="s">
        <v>291</v>
      </c>
      <c r="E157" s="95" t="s">
        <v>10</v>
      </c>
      <c r="F157" s="95">
        <v>1</v>
      </c>
      <c r="G157" s="45">
        <v>8</v>
      </c>
      <c r="H157" s="45">
        <v>8</v>
      </c>
      <c r="I157" s="45">
        <v>4</v>
      </c>
      <c r="J157" s="45">
        <v>8</v>
      </c>
      <c r="K157" s="45">
        <v>4</v>
      </c>
      <c r="L157" s="46">
        <v>0</v>
      </c>
      <c r="M157" s="47">
        <v>0.5</v>
      </c>
      <c r="N157" s="47">
        <v>1</v>
      </c>
      <c r="O157" s="45">
        <v>363</v>
      </c>
      <c r="P157" s="96">
        <v>80</v>
      </c>
    </row>
    <row r="158" spans="2:16" x14ac:dyDescent="0.3">
      <c r="B158" s="99" t="s">
        <v>545</v>
      </c>
      <c r="C158" s="93" t="s">
        <v>2</v>
      </c>
      <c r="D158" s="94" t="s">
        <v>546</v>
      </c>
      <c r="E158" s="95" t="s">
        <v>10</v>
      </c>
      <c r="F158" s="95">
        <v>1</v>
      </c>
      <c r="G158" s="45">
        <v>8</v>
      </c>
      <c r="H158" s="45">
        <v>8</v>
      </c>
      <c r="I158" s="45">
        <v>0</v>
      </c>
      <c r="J158" s="45">
        <v>0</v>
      </c>
      <c r="K158" s="45">
        <v>8</v>
      </c>
      <c r="L158" s="46">
        <v>8</v>
      </c>
      <c r="M158" s="47">
        <v>0</v>
      </c>
      <c r="N158" s="47">
        <v>0</v>
      </c>
      <c r="O158" s="45">
        <v>0</v>
      </c>
      <c r="P158" s="96">
        <v>480</v>
      </c>
    </row>
    <row r="159" spans="2:16" x14ac:dyDescent="0.3">
      <c r="B159" s="92" t="s">
        <v>188</v>
      </c>
      <c r="C159" s="93" t="s">
        <v>2</v>
      </c>
      <c r="D159" s="94" t="s">
        <v>275</v>
      </c>
      <c r="E159" s="95" t="s">
        <v>10</v>
      </c>
      <c r="F159" s="95">
        <v>1</v>
      </c>
      <c r="G159" s="45">
        <v>8</v>
      </c>
      <c r="H159" s="45">
        <v>8</v>
      </c>
      <c r="I159" s="45">
        <v>4</v>
      </c>
      <c r="J159" s="45">
        <v>2</v>
      </c>
      <c r="K159" s="45">
        <v>4</v>
      </c>
      <c r="L159" s="46">
        <v>6</v>
      </c>
      <c r="M159" s="47">
        <v>0.5</v>
      </c>
      <c r="N159" s="47">
        <v>0.25</v>
      </c>
      <c r="O159" s="45">
        <v>160</v>
      </c>
      <c r="P159" s="96">
        <v>320</v>
      </c>
    </row>
    <row r="160" spans="2:16" x14ac:dyDescent="0.3">
      <c r="B160" s="92" t="s">
        <v>209</v>
      </c>
      <c r="C160" s="93" t="s">
        <v>2</v>
      </c>
      <c r="D160" s="94" t="s">
        <v>293</v>
      </c>
      <c r="E160" s="95" t="s">
        <v>3</v>
      </c>
      <c r="F160" s="95">
        <v>1</v>
      </c>
      <c r="G160" s="45">
        <v>4</v>
      </c>
      <c r="H160" s="45">
        <v>2</v>
      </c>
      <c r="I160" s="45">
        <v>0</v>
      </c>
      <c r="J160" s="45">
        <v>0</v>
      </c>
      <c r="K160" s="45">
        <v>4</v>
      </c>
      <c r="L160" s="46">
        <v>2</v>
      </c>
      <c r="M160" s="47">
        <v>0</v>
      </c>
      <c r="N160" s="47">
        <v>0</v>
      </c>
      <c r="O160" s="45">
        <v>0</v>
      </c>
      <c r="P160" s="96">
        <v>160</v>
      </c>
    </row>
    <row r="161" spans="2:16" x14ac:dyDescent="0.3">
      <c r="B161" s="92" t="s">
        <v>220</v>
      </c>
      <c r="C161" s="93" t="s">
        <v>2</v>
      </c>
      <c r="D161" s="94" t="s">
        <v>281</v>
      </c>
      <c r="E161" s="95" t="s">
        <v>3</v>
      </c>
      <c r="F161" s="95">
        <v>1</v>
      </c>
      <c r="G161" s="45">
        <v>4</v>
      </c>
      <c r="H161" s="45">
        <v>2</v>
      </c>
      <c r="I161" s="45">
        <v>0</v>
      </c>
      <c r="J161" s="45">
        <v>0</v>
      </c>
      <c r="K161" s="45">
        <v>4</v>
      </c>
      <c r="L161" s="46">
        <v>2</v>
      </c>
      <c r="M161" s="47">
        <v>0</v>
      </c>
      <c r="N161" s="47">
        <v>0</v>
      </c>
      <c r="O161" s="45">
        <v>0</v>
      </c>
      <c r="P161" s="96">
        <v>160</v>
      </c>
    </row>
    <row r="162" spans="2:16" x14ac:dyDescent="0.3">
      <c r="B162" s="92" t="s">
        <v>306</v>
      </c>
      <c r="C162" s="93" t="s">
        <v>2</v>
      </c>
      <c r="D162" s="94" t="s">
        <v>251</v>
      </c>
      <c r="E162" s="95" t="s">
        <v>3</v>
      </c>
      <c r="F162" s="95">
        <v>1</v>
      </c>
      <c r="G162" s="45">
        <v>4</v>
      </c>
      <c r="H162" s="45">
        <v>2</v>
      </c>
      <c r="I162" s="45">
        <v>0</v>
      </c>
      <c r="J162" s="45">
        <v>0</v>
      </c>
      <c r="K162" s="45">
        <v>4</v>
      </c>
      <c r="L162" s="46">
        <v>2</v>
      </c>
      <c r="M162" s="47">
        <v>0</v>
      </c>
      <c r="N162" s="47">
        <v>0</v>
      </c>
      <c r="O162" s="45">
        <v>0</v>
      </c>
      <c r="P162" s="96">
        <v>160</v>
      </c>
    </row>
    <row r="163" spans="2:16" x14ac:dyDescent="0.3">
      <c r="B163" s="92" t="s">
        <v>403</v>
      </c>
      <c r="C163" s="93" t="s">
        <v>2</v>
      </c>
      <c r="D163" s="94" t="s">
        <v>457</v>
      </c>
      <c r="E163" s="95" t="s">
        <v>10</v>
      </c>
      <c r="F163" s="95">
        <v>1</v>
      </c>
      <c r="G163" s="45">
        <v>8</v>
      </c>
      <c r="H163" s="45">
        <v>8</v>
      </c>
      <c r="I163" s="45">
        <v>0</v>
      </c>
      <c r="J163" s="45">
        <v>0</v>
      </c>
      <c r="K163" s="45">
        <v>8</v>
      </c>
      <c r="L163" s="46">
        <v>8</v>
      </c>
      <c r="M163" s="47">
        <v>0</v>
      </c>
      <c r="N163" s="47">
        <v>0</v>
      </c>
      <c r="O163" s="45">
        <v>0</v>
      </c>
      <c r="P163" s="96">
        <v>480</v>
      </c>
    </row>
    <row r="164" spans="2:16" x14ac:dyDescent="0.3">
      <c r="B164" s="92" t="s">
        <v>316</v>
      </c>
      <c r="C164" s="93" t="s">
        <v>2</v>
      </c>
      <c r="D164" s="94" t="s">
        <v>243</v>
      </c>
      <c r="E164" s="95" t="s">
        <v>3</v>
      </c>
      <c r="F164" s="95">
        <v>1</v>
      </c>
      <c r="G164" s="45">
        <v>4</v>
      </c>
      <c r="H164" s="45">
        <v>2</v>
      </c>
      <c r="I164" s="45">
        <v>0</v>
      </c>
      <c r="J164" s="45">
        <v>1</v>
      </c>
      <c r="K164" s="45">
        <v>4</v>
      </c>
      <c r="L164" s="46">
        <v>1</v>
      </c>
      <c r="M164" s="47">
        <v>0</v>
      </c>
      <c r="N164" s="47">
        <v>0.5</v>
      </c>
      <c r="O164" s="45">
        <v>40</v>
      </c>
      <c r="P164" s="96">
        <v>120</v>
      </c>
    </row>
    <row r="165" spans="2:16" x14ac:dyDescent="0.3">
      <c r="B165" s="92" t="s">
        <v>163</v>
      </c>
      <c r="C165" s="93" t="s">
        <v>2</v>
      </c>
      <c r="D165" s="94" t="s">
        <v>277</v>
      </c>
      <c r="E165" s="95" t="s">
        <v>3</v>
      </c>
      <c r="F165" s="95">
        <v>1</v>
      </c>
      <c r="G165" s="45">
        <v>4</v>
      </c>
      <c r="H165" s="45">
        <v>2</v>
      </c>
      <c r="I165" s="45">
        <v>0</v>
      </c>
      <c r="J165" s="45">
        <v>0</v>
      </c>
      <c r="K165" s="45">
        <v>4</v>
      </c>
      <c r="L165" s="46">
        <v>2</v>
      </c>
      <c r="M165" s="47">
        <v>0</v>
      </c>
      <c r="N165" s="47">
        <v>0</v>
      </c>
      <c r="O165" s="45">
        <v>0</v>
      </c>
      <c r="P165" s="96">
        <v>160</v>
      </c>
    </row>
    <row r="166" spans="2:16" x14ac:dyDescent="0.3">
      <c r="B166" s="92" t="s">
        <v>161</v>
      </c>
      <c r="C166" s="93" t="s">
        <v>2</v>
      </c>
      <c r="D166" s="94" t="s">
        <v>255</v>
      </c>
      <c r="E166" s="95" t="s">
        <v>3</v>
      </c>
      <c r="F166" s="95">
        <v>2</v>
      </c>
      <c r="G166" s="45">
        <v>8</v>
      </c>
      <c r="H166" s="45">
        <v>4</v>
      </c>
      <c r="I166" s="45">
        <v>2</v>
      </c>
      <c r="J166" s="45">
        <v>2</v>
      </c>
      <c r="K166" s="45">
        <v>6</v>
      </c>
      <c r="L166" s="46">
        <v>2</v>
      </c>
      <c r="M166" s="47">
        <v>0.25</v>
      </c>
      <c r="N166" s="47">
        <v>0.5</v>
      </c>
      <c r="O166" s="45">
        <v>80</v>
      </c>
      <c r="P166" s="96">
        <v>200</v>
      </c>
    </row>
    <row r="167" spans="2:16" x14ac:dyDescent="0.3">
      <c r="B167" s="92" t="s">
        <v>27</v>
      </c>
      <c r="C167" s="93" t="s">
        <v>13</v>
      </c>
      <c r="D167" s="94" t="s">
        <v>283</v>
      </c>
      <c r="E167" s="95" t="s">
        <v>10</v>
      </c>
      <c r="F167" s="95">
        <v>3</v>
      </c>
      <c r="G167" s="45">
        <v>24</v>
      </c>
      <c r="H167" s="45">
        <v>24</v>
      </c>
      <c r="I167" s="45">
        <v>7</v>
      </c>
      <c r="J167" s="45">
        <v>14</v>
      </c>
      <c r="K167" s="45">
        <v>17</v>
      </c>
      <c r="L167" s="46">
        <v>10</v>
      </c>
      <c r="M167" s="47">
        <v>0.29166666666666669</v>
      </c>
      <c r="N167" s="47">
        <v>0.58333333333333337</v>
      </c>
      <c r="O167" s="45">
        <v>600</v>
      </c>
      <c r="P167" s="96">
        <v>740</v>
      </c>
    </row>
    <row r="168" spans="2:16" x14ac:dyDescent="0.3">
      <c r="B168" s="92" t="s">
        <v>39</v>
      </c>
      <c r="C168" s="93" t="s">
        <v>13</v>
      </c>
      <c r="D168" s="94" t="s">
        <v>295</v>
      </c>
      <c r="E168" s="95" t="s">
        <v>3</v>
      </c>
      <c r="F168" s="95">
        <v>2</v>
      </c>
      <c r="G168" s="45">
        <v>8</v>
      </c>
      <c r="H168" s="45">
        <v>4</v>
      </c>
      <c r="I168" s="45">
        <v>2</v>
      </c>
      <c r="J168" s="45">
        <v>0</v>
      </c>
      <c r="K168" s="45">
        <v>6</v>
      </c>
      <c r="L168" s="46">
        <v>4</v>
      </c>
      <c r="M168" s="47">
        <v>0.25</v>
      </c>
      <c r="N168" s="47">
        <v>0</v>
      </c>
      <c r="O168" s="45">
        <v>0</v>
      </c>
      <c r="P168" s="96">
        <v>280</v>
      </c>
    </row>
    <row r="169" spans="2:16" x14ac:dyDescent="0.3">
      <c r="B169" s="92" t="s">
        <v>318</v>
      </c>
      <c r="C169" s="93" t="s">
        <v>6</v>
      </c>
      <c r="D169" s="94" t="s">
        <v>239</v>
      </c>
      <c r="E169" s="95" t="s">
        <v>3</v>
      </c>
      <c r="F169" s="95">
        <v>1</v>
      </c>
      <c r="G169" s="45">
        <v>4</v>
      </c>
      <c r="H169" s="45">
        <v>2</v>
      </c>
      <c r="I169" s="45">
        <v>0</v>
      </c>
      <c r="J169" s="45">
        <v>0</v>
      </c>
      <c r="K169" s="45">
        <v>4</v>
      </c>
      <c r="L169" s="46">
        <v>2</v>
      </c>
      <c r="M169" s="47">
        <v>0</v>
      </c>
      <c r="N169" s="47">
        <v>0</v>
      </c>
      <c r="O169" s="45">
        <v>0</v>
      </c>
      <c r="P169" s="96">
        <v>160</v>
      </c>
    </row>
    <row r="170" spans="2:16" x14ac:dyDescent="0.3">
      <c r="B170" s="92" t="s">
        <v>95</v>
      </c>
      <c r="C170" s="93" t="s">
        <v>6</v>
      </c>
      <c r="D170" s="94" t="s">
        <v>285</v>
      </c>
      <c r="E170" s="95" t="s">
        <v>10</v>
      </c>
      <c r="F170" s="95">
        <v>2</v>
      </c>
      <c r="G170" s="45">
        <v>16</v>
      </c>
      <c r="H170" s="45">
        <v>16</v>
      </c>
      <c r="I170" s="45">
        <v>12</v>
      </c>
      <c r="J170" s="45">
        <v>8</v>
      </c>
      <c r="K170" s="45">
        <v>4</v>
      </c>
      <c r="L170" s="46">
        <v>8</v>
      </c>
      <c r="M170" s="47">
        <v>0.75</v>
      </c>
      <c r="N170" s="47">
        <v>0.5</v>
      </c>
      <c r="O170" s="45">
        <v>160</v>
      </c>
      <c r="P170" s="96">
        <v>400</v>
      </c>
    </row>
    <row r="171" spans="2:16" x14ac:dyDescent="0.3">
      <c r="B171" s="92" t="s">
        <v>320</v>
      </c>
      <c r="C171" s="93" t="s">
        <v>6</v>
      </c>
      <c r="D171" s="94" t="s">
        <v>287</v>
      </c>
      <c r="E171" s="95" t="s">
        <v>3</v>
      </c>
      <c r="F171" s="95">
        <v>1</v>
      </c>
      <c r="G171" s="45">
        <v>4</v>
      </c>
      <c r="H171" s="45">
        <v>2</v>
      </c>
      <c r="I171" s="45">
        <v>0</v>
      </c>
      <c r="J171" s="45">
        <v>0</v>
      </c>
      <c r="K171" s="45">
        <v>4</v>
      </c>
      <c r="L171" s="46">
        <v>2</v>
      </c>
      <c r="M171" s="47">
        <v>0</v>
      </c>
      <c r="N171" s="47">
        <v>0</v>
      </c>
      <c r="O171" s="45">
        <v>0</v>
      </c>
      <c r="P171" s="96">
        <v>160</v>
      </c>
    </row>
    <row r="172" spans="2:16" x14ac:dyDescent="0.3">
      <c r="B172" s="92" t="s">
        <v>360</v>
      </c>
      <c r="C172" s="93" t="s">
        <v>6</v>
      </c>
      <c r="D172" s="94" t="s">
        <v>241</v>
      </c>
      <c r="E172" s="95" t="s">
        <v>3</v>
      </c>
      <c r="F172" s="95">
        <v>1</v>
      </c>
      <c r="G172" s="45">
        <v>4</v>
      </c>
      <c r="H172" s="45">
        <v>2</v>
      </c>
      <c r="I172" s="45">
        <v>0</v>
      </c>
      <c r="J172" s="45">
        <v>0</v>
      </c>
      <c r="K172" s="45">
        <v>4</v>
      </c>
      <c r="L172" s="46">
        <v>2</v>
      </c>
      <c r="M172" s="47">
        <v>0</v>
      </c>
      <c r="N172" s="47">
        <v>0</v>
      </c>
      <c r="O172" s="45">
        <v>0</v>
      </c>
      <c r="P172" s="96">
        <v>160</v>
      </c>
    </row>
    <row r="173" spans="2:16" x14ac:dyDescent="0.3">
      <c r="B173" s="92" t="s">
        <v>321</v>
      </c>
      <c r="C173" s="93" t="s">
        <v>6</v>
      </c>
      <c r="D173" s="94" t="s">
        <v>235</v>
      </c>
      <c r="E173" s="95" t="s">
        <v>3</v>
      </c>
      <c r="F173" s="95">
        <v>1</v>
      </c>
      <c r="G173" s="45">
        <v>4</v>
      </c>
      <c r="H173" s="45">
        <v>2</v>
      </c>
      <c r="I173" s="45">
        <v>0</v>
      </c>
      <c r="J173" s="45">
        <v>0</v>
      </c>
      <c r="K173" s="45">
        <v>4</v>
      </c>
      <c r="L173" s="46">
        <v>2</v>
      </c>
      <c r="M173" s="47">
        <v>0</v>
      </c>
      <c r="N173" s="47">
        <v>0</v>
      </c>
      <c r="O173" s="45">
        <v>0</v>
      </c>
      <c r="P173" s="96">
        <v>160</v>
      </c>
    </row>
    <row r="174" spans="2:16" x14ac:dyDescent="0.3">
      <c r="B174" s="92" t="s">
        <v>254</v>
      </c>
      <c r="C174" s="93" t="s">
        <v>70</v>
      </c>
      <c r="D174" s="94" t="s">
        <v>269</v>
      </c>
      <c r="E174" s="95" t="s">
        <v>10</v>
      </c>
      <c r="F174" s="95">
        <v>1</v>
      </c>
      <c r="G174" s="45">
        <v>8</v>
      </c>
      <c r="H174" s="45">
        <v>8</v>
      </c>
      <c r="I174" s="45">
        <v>1</v>
      </c>
      <c r="J174" s="45">
        <v>5</v>
      </c>
      <c r="K174" s="45">
        <v>7</v>
      </c>
      <c r="L174" s="46">
        <v>3</v>
      </c>
      <c r="M174" s="47">
        <v>0.125</v>
      </c>
      <c r="N174" s="47">
        <v>0.625</v>
      </c>
      <c r="O174" s="45">
        <v>60</v>
      </c>
      <c r="P174" s="96">
        <v>260</v>
      </c>
    </row>
    <row r="175" spans="2:16" x14ac:dyDescent="0.3">
      <c r="B175" s="92" t="s">
        <v>129</v>
      </c>
      <c r="C175" s="93" t="s">
        <v>70</v>
      </c>
      <c r="D175" s="94" t="s">
        <v>252</v>
      </c>
      <c r="E175" s="95" t="s">
        <v>3</v>
      </c>
      <c r="F175" s="95">
        <v>1</v>
      </c>
      <c r="G175" s="45">
        <v>4</v>
      </c>
      <c r="H175" s="45">
        <v>2</v>
      </c>
      <c r="I175" s="45">
        <v>0</v>
      </c>
      <c r="J175" s="45">
        <v>0</v>
      </c>
      <c r="K175" s="45">
        <v>4</v>
      </c>
      <c r="L175" s="46">
        <v>2</v>
      </c>
      <c r="M175" s="47">
        <v>0</v>
      </c>
      <c r="N175" s="47">
        <v>0</v>
      </c>
      <c r="O175" s="45">
        <v>0</v>
      </c>
      <c r="P175" s="96">
        <v>160</v>
      </c>
    </row>
    <row r="176" spans="2:16" x14ac:dyDescent="0.3">
      <c r="B176" s="92" t="s">
        <v>246</v>
      </c>
      <c r="C176" s="93" t="s">
        <v>70</v>
      </c>
      <c r="D176" s="94" t="s">
        <v>296</v>
      </c>
      <c r="E176" s="95" t="s">
        <v>3</v>
      </c>
      <c r="F176" s="95">
        <v>1</v>
      </c>
      <c r="G176" s="45">
        <v>4</v>
      </c>
      <c r="H176" s="45">
        <v>2</v>
      </c>
      <c r="I176" s="45">
        <v>2</v>
      </c>
      <c r="J176" s="45">
        <v>1</v>
      </c>
      <c r="K176" s="45">
        <v>2</v>
      </c>
      <c r="L176" s="46">
        <v>1</v>
      </c>
      <c r="M176" s="47">
        <v>0.5</v>
      </c>
      <c r="N176" s="47">
        <v>0.5</v>
      </c>
      <c r="O176" s="45">
        <v>56</v>
      </c>
      <c r="P176" s="96">
        <v>80</v>
      </c>
    </row>
    <row r="177" spans="2:16" x14ac:dyDescent="0.3">
      <c r="B177" s="92" t="s">
        <v>383</v>
      </c>
      <c r="C177" s="93" t="s">
        <v>9</v>
      </c>
      <c r="D177" s="94" t="s">
        <v>458</v>
      </c>
      <c r="E177" s="95" t="s">
        <v>3</v>
      </c>
      <c r="F177" s="95">
        <v>1</v>
      </c>
      <c r="G177" s="45">
        <v>4</v>
      </c>
      <c r="H177" s="45">
        <v>2</v>
      </c>
      <c r="I177" s="45">
        <v>0</v>
      </c>
      <c r="J177" s="45">
        <v>0</v>
      </c>
      <c r="K177" s="45">
        <v>4</v>
      </c>
      <c r="L177" s="46">
        <v>2</v>
      </c>
      <c r="M177" s="47">
        <v>0</v>
      </c>
      <c r="N177" s="47">
        <v>0</v>
      </c>
      <c r="O177" s="45">
        <v>0</v>
      </c>
      <c r="P177" s="96">
        <v>160</v>
      </c>
    </row>
    <row r="178" spans="2:16" x14ac:dyDescent="0.3">
      <c r="B178" s="92" t="s">
        <v>527</v>
      </c>
      <c r="C178" s="93" t="s">
        <v>2</v>
      </c>
      <c r="D178" s="94" t="s">
        <v>537</v>
      </c>
      <c r="E178" s="95" t="s">
        <v>3</v>
      </c>
      <c r="F178" s="95">
        <v>1</v>
      </c>
      <c r="G178" s="45">
        <v>4</v>
      </c>
      <c r="H178" s="45">
        <v>2</v>
      </c>
      <c r="I178" s="45">
        <v>0</v>
      </c>
      <c r="J178" s="45">
        <v>0</v>
      </c>
      <c r="K178" s="45">
        <v>4</v>
      </c>
      <c r="L178" s="46">
        <v>2</v>
      </c>
      <c r="M178" s="47">
        <v>0</v>
      </c>
      <c r="N178" s="47">
        <v>0</v>
      </c>
      <c r="O178" s="45">
        <v>0</v>
      </c>
      <c r="P178" s="96">
        <v>160</v>
      </c>
    </row>
    <row r="179" spans="2:16" x14ac:dyDescent="0.3">
      <c r="B179" s="92" t="s">
        <v>64</v>
      </c>
      <c r="C179" s="93" t="s">
        <v>6</v>
      </c>
      <c r="D179" s="94" t="s">
        <v>259</v>
      </c>
      <c r="E179" s="95" t="s">
        <v>3</v>
      </c>
      <c r="F179" s="95">
        <v>2</v>
      </c>
      <c r="G179" s="45">
        <v>8</v>
      </c>
      <c r="H179" s="45">
        <v>4</v>
      </c>
      <c r="I179" s="45">
        <v>2</v>
      </c>
      <c r="J179" s="45">
        <v>0</v>
      </c>
      <c r="K179" s="45">
        <v>6</v>
      </c>
      <c r="L179" s="46">
        <v>4</v>
      </c>
      <c r="M179" s="47">
        <v>0.25</v>
      </c>
      <c r="N179" s="47">
        <v>0</v>
      </c>
      <c r="O179" s="45">
        <v>0</v>
      </c>
      <c r="P179" s="96">
        <v>280</v>
      </c>
    </row>
    <row r="180" spans="2:16" x14ac:dyDescent="0.3">
      <c r="B180" s="92" t="s">
        <v>226</v>
      </c>
      <c r="C180" s="93" t="s">
        <v>131</v>
      </c>
      <c r="D180" s="94" t="s">
        <v>279</v>
      </c>
      <c r="E180" s="95" t="s">
        <v>10</v>
      </c>
      <c r="F180" s="95">
        <v>1</v>
      </c>
      <c r="G180" s="45">
        <v>8</v>
      </c>
      <c r="H180" s="45">
        <v>8</v>
      </c>
      <c r="I180" s="45">
        <v>13</v>
      </c>
      <c r="J180" s="45">
        <v>8</v>
      </c>
      <c r="K180" s="45">
        <v>-5</v>
      </c>
      <c r="L180" s="46">
        <v>0</v>
      </c>
      <c r="M180" s="47">
        <v>1.625</v>
      </c>
      <c r="N180" s="47">
        <v>1</v>
      </c>
      <c r="O180" s="45">
        <v>500</v>
      </c>
      <c r="P180" s="96">
        <v>-100</v>
      </c>
    </row>
    <row r="181" spans="2:16" x14ac:dyDescent="0.3">
      <c r="B181" s="99" t="s">
        <v>543</v>
      </c>
      <c r="C181" s="93" t="s">
        <v>131</v>
      </c>
      <c r="D181" s="94" t="s">
        <v>544</v>
      </c>
      <c r="E181" s="95" t="s">
        <v>10</v>
      </c>
      <c r="F181" s="95">
        <v>1</v>
      </c>
      <c r="G181" s="45">
        <v>8</v>
      </c>
      <c r="H181" s="45">
        <v>8</v>
      </c>
      <c r="I181" s="45">
        <v>0</v>
      </c>
      <c r="J181" s="45">
        <v>0</v>
      </c>
      <c r="K181" s="45">
        <v>8</v>
      </c>
      <c r="L181" s="46">
        <v>8</v>
      </c>
      <c r="M181" s="47">
        <v>0</v>
      </c>
      <c r="N181" s="47">
        <v>0</v>
      </c>
      <c r="O181" s="45">
        <v>0</v>
      </c>
      <c r="P181" s="96">
        <v>480</v>
      </c>
    </row>
    <row r="182" spans="2:16" x14ac:dyDescent="0.3">
      <c r="B182" s="92" t="s">
        <v>1</v>
      </c>
      <c r="C182" s="93" t="s">
        <v>2</v>
      </c>
      <c r="D182" s="94" t="s">
        <v>237</v>
      </c>
      <c r="E182" s="95" t="s">
        <v>3</v>
      </c>
      <c r="F182" s="95">
        <v>1</v>
      </c>
      <c r="G182" s="45">
        <v>4</v>
      </c>
      <c r="H182" s="45">
        <v>2</v>
      </c>
      <c r="I182" s="45">
        <v>2</v>
      </c>
      <c r="J182" s="45">
        <v>0</v>
      </c>
      <c r="K182" s="45">
        <v>2</v>
      </c>
      <c r="L182" s="46">
        <v>2</v>
      </c>
      <c r="M182" s="47">
        <v>0.5</v>
      </c>
      <c r="N182" s="47">
        <v>0</v>
      </c>
      <c r="O182" s="45">
        <v>0</v>
      </c>
      <c r="P182" s="96">
        <v>120</v>
      </c>
    </row>
    <row r="183" spans="2:16" x14ac:dyDescent="0.3">
      <c r="B183" s="99" t="s">
        <v>240</v>
      </c>
      <c r="C183" s="93" t="s">
        <v>2</v>
      </c>
      <c r="D183" s="94" t="s">
        <v>263</v>
      </c>
      <c r="E183" s="95" t="s">
        <v>17</v>
      </c>
      <c r="F183" s="95">
        <v>1</v>
      </c>
      <c r="G183" s="45">
        <v>6</v>
      </c>
      <c r="H183" s="45">
        <v>6</v>
      </c>
      <c r="I183" s="45">
        <v>0</v>
      </c>
      <c r="J183" s="45">
        <v>0</v>
      </c>
      <c r="K183" s="45">
        <v>6</v>
      </c>
      <c r="L183" s="46">
        <v>6</v>
      </c>
      <c r="M183" s="47">
        <v>0</v>
      </c>
      <c r="N183" s="47">
        <v>0</v>
      </c>
      <c r="O183" s="45">
        <v>0</v>
      </c>
      <c r="P183" s="96">
        <v>360</v>
      </c>
    </row>
    <row r="184" spans="2:16" x14ac:dyDescent="0.3">
      <c r="B184" s="92" t="s">
        <v>26</v>
      </c>
      <c r="C184" s="93" t="s">
        <v>6</v>
      </c>
      <c r="D184" s="94" t="s">
        <v>342</v>
      </c>
      <c r="E184" s="95" t="s">
        <v>10</v>
      </c>
      <c r="F184" s="95">
        <v>2</v>
      </c>
      <c r="G184" s="45">
        <v>16</v>
      </c>
      <c r="H184" s="45">
        <v>16</v>
      </c>
      <c r="I184" s="45">
        <v>1</v>
      </c>
      <c r="J184" s="49">
        <v>7</v>
      </c>
      <c r="K184" s="45">
        <v>15</v>
      </c>
      <c r="L184" s="46">
        <v>9</v>
      </c>
      <c r="M184" s="47">
        <v>6.25E-2</v>
      </c>
      <c r="N184" s="47">
        <v>0.4375</v>
      </c>
      <c r="O184" s="45">
        <v>140</v>
      </c>
      <c r="P184" s="96">
        <v>660</v>
      </c>
    </row>
    <row r="185" spans="2:16" x14ac:dyDescent="0.3">
      <c r="B185" s="92" t="s">
        <v>205</v>
      </c>
      <c r="C185" s="93" t="s">
        <v>2</v>
      </c>
      <c r="D185" s="94" t="s">
        <v>233</v>
      </c>
      <c r="E185" s="95" t="s">
        <v>3</v>
      </c>
      <c r="F185" s="95">
        <v>1</v>
      </c>
      <c r="G185" s="45">
        <v>4</v>
      </c>
      <c r="H185" s="45">
        <v>2</v>
      </c>
      <c r="I185" s="45">
        <v>0</v>
      </c>
      <c r="J185" s="45">
        <v>0</v>
      </c>
      <c r="K185" s="45">
        <v>4</v>
      </c>
      <c r="L185" s="46">
        <v>2</v>
      </c>
      <c r="M185" s="47">
        <v>0</v>
      </c>
      <c r="N185" s="47">
        <v>0</v>
      </c>
      <c r="O185" s="45">
        <v>0</v>
      </c>
      <c r="P185" s="96">
        <v>160</v>
      </c>
    </row>
    <row r="186" spans="2:16" x14ac:dyDescent="0.3">
      <c r="B186" s="92" t="s">
        <v>393</v>
      </c>
      <c r="C186" s="93" t="s">
        <v>2</v>
      </c>
      <c r="D186" s="94" t="s">
        <v>459</v>
      </c>
      <c r="E186" s="95" t="s">
        <v>3</v>
      </c>
      <c r="F186" s="95">
        <v>1</v>
      </c>
      <c r="G186" s="45">
        <v>4</v>
      </c>
      <c r="H186" s="45">
        <v>2</v>
      </c>
      <c r="I186" s="45">
        <v>0</v>
      </c>
      <c r="J186" s="45">
        <v>0</v>
      </c>
      <c r="K186" s="45">
        <v>4</v>
      </c>
      <c r="L186" s="46">
        <v>2</v>
      </c>
      <c r="M186" s="47">
        <v>0</v>
      </c>
      <c r="N186" s="47">
        <v>0</v>
      </c>
      <c r="O186" s="45">
        <v>0</v>
      </c>
      <c r="P186" s="96">
        <v>160</v>
      </c>
    </row>
    <row r="187" spans="2:16" x14ac:dyDescent="0.3">
      <c r="B187" s="92" t="s">
        <v>167</v>
      </c>
      <c r="C187" s="93" t="s">
        <v>168</v>
      </c>
      <c r="D187" s="94" t="s">
        <v>225</v>
      </c>
      <c r="E187" s="95" t="s">
        <v>3</v>
      </c>
      <c r="F187" s="95">
        <v>1</v>
      </c>
      <c r="G187" s="45">
        <v>4</v>
      </c>
      <c r="H187" s="45">
        <v>2</v>
      </c>
      <c r="I187" s="45">
        <v>0</v>
      </c>
      <c r="J187" s="45">
        <v>0</v>
      </c>
      <c r="K187" s="45">
        <v>4</v>
      </c>
      <c r="L187" s="46">
        <v>2</v>
      </c>
      <c r="M187" s="47">
        <v>0</v>
      </c>
      <c r="N187" s="47">
        <v>0</v>
      </c>
      <c r="O187" s="45">
        <v>0</v>
      </c>
      <c r="P187" s="96">
        <v>160</v>
      </c>
    </row>
    <row r="188" spans="2:16" x14ac:dyDescent="0.3">
      <c r="B188" s="92" t="s">
        <v>421</v>
      </c>
      <c r="C188" s="93" t="s">
        <v>2</v>
      </c>
      <c r="D188" s="94" t="s">
        <v>486</v>
      </c>
      <c r="E188" s="95" t="s">
        <v>3</v>
      </c>
      <c r="F188" s="95">
        <v>1</v>
      </c>
      <c r="G188" s="45">
        <v>4</v>
      </c>
      <c r="H188" s="45">
        <v>2</v>
      </c>
      <c r="I188" s="45">
        <v>0</v>
      </c>
      <c r="J188" s="45">
        <v>0</v>
      </c>
      <c r="K188" s="45">
        <v>4</v>
      </c>
      <c r="L188" s="46">
        <v>2</v>
      </c>
      <c r="M188" s="47">
        <v>0</v>
      </c>
      <c r="N188" s="47">
        <v>0</v>
      </c>
      <c r="O188" s="45">
        <v>0</v>
      </c>
      <c r="P188" s="96">
        <v>160</v>
      </c>
    </row>
    <row r="189" spans="2:16" x14ac:dyDescent="0.3">
      <c r="B189" s="92" t="s">
        <v>197</v>
      </c>
      <c r="C189" s="93" t="s">
        <v>9</v>
      </c>
      <c r="D189" s="94" t="s">
        <v>267</v>
      </c>
      <c r="E189" s="95" t="s">
        <v>3</v>
      </c>
      <c r="F189" s="95">
        <v>1</v>
      </c>
      <c r="G189" s="45">
        <v>4</v>
      </c>
      <c r="H189" s="45">
        <v>2</v>
      </c>
      <c r="I189" s="45">
        <v>2</v>
      </c>
      <c r="J189" s="45">
        <v>0</v>
      </c>
      <c r="K189" s="45">
        <v>2</v>
      </c>
      <c r="L189" s="46">
        <v>2</v>
      </c>
      <c r="M189" s="47">
        <v>0.5</v>
      </c>
      <c r="N189" s="47">
        <v>0</v>
      </c>
      <c r="O189" s="45">
        <v>0</v>
      </c>
      <c r="P189" s="96">
        <v>120</v>
      </c>
    </row>
    <row r="190" spans="2:16" x14ac:dyDescent="0.3">
      <c r="B190" s="92" t="s">
        <v>341</v>
      </c>
      <c r="C190" s="93" t="s">
        <v>9</v>
      </c>
      <c r="D190" s="94" t="s">
        <v>271</v>
      </c>
      <c r="E190" s="95" t="s">
        <v>3</v>
      </c>
      <c r="F190" s="95">
        <v>1</v>
      </c>
      <c r="G190" s="45">
        <v>4</v>
      </c>
      <c r="H190" s="45">
        <v>2</v>
      </c>
      <c r="I190" s="45">
        <v>0</v>
      </c>
      <c r="J190" s="45">
        <v>0</v>
      </c>
      <c r="K190" s="45">
        <v>4</v>
      </c>
      <c r="L190" s="46">
        <v>2</v>
      </c>
      <c r="M190" s="47">
        <v>0</v>
      </c>
      <c r="N190" s="47">
        <v>0</v>
      </c>
      <c r="O190" s="45">
        <v>0</v>
      </c>
      <c r="P190" s="96">
        <v>160</v>
      </c>
    </row>
    <row r="191" spans="2:16" x14ac:dyDescent="0.3">
      <c r="B191" s="92" t="s">
        <v>134</v>
      </c>
      <c r="C191" s="93" t="s">
        <v>9</v>
      </c>
      <c r="D191" s="94" t="s">
        <v>247</v>
      </c>
      <c r="E191" s="95" t="s">
        <v>3</v>
      </c>
      <c r="F191" s="95">
        <v>1</v>
      </c>
      <c r="G191" s="45">
        <v>4</v>
      </c>
      <c r="H191" s="45">
        <v>2</v>
      </c>
      <c r="I191" s="45">
        <v>1</v>
      </c>
      <c r="J191" s="45">
        <v>0</v>
      </c>
      <c r="K191" s="45">
        <v>3</v>
      </c>
      <c r="L191" s="46">
        <v>2</v>
      </c>
      <c r="M191" s="47">
        <v>0.25</v>
      </c>
      <c r="N191" s="47">
        <v>0</v>
      </c>
      <c r="O191" s="45">
        <v>0</v>
      </c>
      <c r="P191" s="96">
        <v>140</v>
      </c>
    </row>
    <row r="192" spans="2:16" x14ac:dyDescent="0.3">
      <c r="B192" s="92" t="s">
        <v>216</v>
      </c>
      <c r="C192" s="93" t="s">
        <v>9</v>
      </c>
      <c r="D192" s="94" t="s">
        <v>63</v>
      </c>
      <c r="E192" s="95" t="s">
        <v>3</v>
      </c>
      <c r="F192" s="95">
        <v>1</v>
      </c>
      <c r="G192" s="45">
        <v>4</v>
      </c>
      <c r="H192" s="45">
        <v>2</v>
      </c>
      <c r="I192" s="45">
        <v>0</v>
      </c>
      <c r="J192" s="45">
        <v>0</v>
      </c>
      <c r="K192" s="45">
        <v>4</v>
      </c>
      <c r="L192" s="46">
        <v>2</v>
      </c>
      <c r="M192" s="47">
        <v>0</v>
      </c>
      <c r="N192" s="47">
        <v>0</v>
      </c>
      <c r="O192" s="45">
        <v>0</v>
      </c>
      <c r="P192" s="96">
        <v>160</v>
      </c>
    </row>
    <row r="193" spans="2:16" x14ac:dyDescent="0.3">
      <c r="B193" s="92" t="s">
        <v>230</v>
      </c>
      <c r="C193" s="93" t="s">
        <v>9</v>
      </c>
      <c r="D193" s="94" t="s">
        <v>257</v>
      </c>
      <c r="E193" s="95" t="s">
        <v>3</v>
      </c>
      <c r="F193" s="95">
        <v>1</v>
      </c>
      <c r="G193" s="45">
        <v>4</v>
      </c>
      <c r="H193" s="45">
        <v>2</v>
      </c>
      <c r="I193" s="45">
        <v>4</v>
      </c>
      <c r="J193" s="45">
        <v>0</v>
      </c>
      <c r="K193" s="45">
        <v>0</v>
      </c>
      <c r="L193" s="46">
        <v>2</v>
      </c>
      <c r="M193" s="47">
        <v>1</v>
      </c>
      <c r="N193" s="47">
        <v>0</v>
      </c>
      <c r="O193" s="45">
        <v>68</v>
      </c>
      <c r="P193" s="96">
        <v>80</v>
      </c>
    </row>
    <row r="194" spans="2:16" x14ac:dyDescent="0.3">
      <c r="B194" s="99" t="s">
        <v>434</v>
      </c>
      <c r="C194" s="93" t="s">
        <v>9</v>
      </c>
      <c r="D194" s="94" t="s">
        <v>489</v>
      </c>
      <c r="E194" s="95" t="s">
        <v>10</v>
      </c>
      <c r="F194" s="95">
        <v>1</v>
      </c>
      <c r="G194" s="45">
        <v>8</v>
      </c>
      <c r="H194" s="45">
        <v>8</v>
      </c>
      <c r="I194" s="45">
        <v>0</v>
      </c>
      <c r="J194" s="45">
        <v>1</v>
      </c>
      <c r="K194" s="45">
        <v>8</v>
      </c>
      <c r="L194" s="46">
        <v>7</v>
      </c>
      <c r="M194" s="47">
        <v>0</v>
      </c>
      <c r="N194" s="47">
        <v>0.125</v>
      </c>
      <c r="O194" s="45">
        <v>0</v>
      </c>
      <c r="P194" s="96">
        <v>440</v>
      </c>
    </row>
    <row r="195" spans="2:16" x14ac:dyDescent="0.3">
      <c r="B195" s="92" t="s">
        <v>93</v>
      </c>
      <c r="C195" s="93" t="s">
        <v>6</v>
      </c>
      <c r="D195" s="94" t="s">
        <v>265</v>
      </c>
      <c r="E195" s="95" t="s">
        <v>10</v>
      </c>
      <c r="F195" s="95">
        <v>1</v>
      </c>
      <c r="G195" s="45">
        <v>8</v>
      </c>
      <c r="H195" s="45">
        <v>8</v>
      </c>
      <c r="I195" s="45">
        <v>0</v>
      </c>
      <c r="J195" s="45">
        <v>2</v>
      </c>
      <c r="K195" s="45">
        <v>8</v>
      </c>
      <c r="L195" s="46">
        <v>6</v>
      </c>
      <c r="M195" s="47">
        <v>0</v>
      </c>
      <c r="N195" s="47">
        <v>0.25</v>
      </c>
      <c r="O195" s="45">
        <v>0</v>
      </c>
      <c r="P195" s="96">
        <v>400</v>
      </c>
    </row>
    <row r="196" spans="2:16" x14ac:dyDescent="0.3">
      <c r="B196" s="92" t="s">
        <v>113</v>
      </c>
      <c r="C196" s="93" t="s">
        <v>6</v>
      </c>
      <c r="D196" s="94" t="s">
        <v>245</v>
      </c>
      <c r="E196" s="95" t="s">
        <v>10</v>
      </c>
      <c r="F196" s="95">
        <v>1</v>
      </c>
      <c r="G196" s="45">
        <v>8</v>
      </c>
      <c r="H196" s="45">
        <v>8</v>
      </c>
      <c r="I196" s="45">
        <v>6</v>
      </c>
      <c r="J196" s="45">
        <v>4</v>
      </c>
      <c r="K196" s="45">
        <v>2</v>
      </c>
      <c r="L196" s="46">
        <v>4</v>
      </c>
      <c r="M196" s="47">
        <v>0.75</v>
      </c>
      <c r="N196" s="47">
        <v>0.5</v>
      </c>
      <c r="O196" s="45">
        <v>200</v>
      </c>
      <c r="P196" s="96">
        <v>200</v>
      </c>
    </row>
    <row r="197" spans="2:16" x14ac:dyDescent="0.3">
      <c r="B197" s="92" t="s">
        <v>228</v>
      </c>
      <c r="C197" s="93" t="s">
        <v>13</v>
      </c>
      <c r="D197" s="94" t="s">
        <v>229</v>
      </c>
      <c r="E197" s="95" t="s">
        <v>3</v>
      </c>
      <c r="F197" s="95">
        <v>1</v>
      </c>
      <c r="G197" s="45">
        <v>4</v>
      </c>
      <c r="H197" s="45">
        <v>2</v>
      </c>
      <c r="I197" s="45">
        <v>2</v>
      </c>
      <c r="J197" s="45">
        <v>2</v>
      </c>
      <c r="K197" s="45">
        <v>2</v>
      </c>
      <c r="L197" s="46">
        <v>0</v>
      </c>
      <c r="M197" s="47">
        <v>0.5</v>
      </c>
      <c r="N197" s="47">
        <v>1</v>
      </c>
      <c r="O197" s="45">
        <v>120</v>
      </c>
      <c r="P197" s="96">
        <v>40</v>
      </c>
    </row>
    <row r="198" spans="2:16" x14ac:dyDescent="0.3">
      <c r="B198" s="99" t="s">
        <v>541</v>
      </c>
      <c r="C198" s="93" t="s">
        <v>13</v>
      </c>
      <c r="D198" s="94" t="s">
        <v>542</v>
      </c>
      <c r="E198" s="95" t="s">
        <v>3</v>
      </c>
      <c r="F198" s="95">
        <v>1</v>
      </c>
      <c r="G198" s="45">
        <v>4</v>
      </c>
      <c r="H198" s="45">
        <v>2</v>
      </c>
      <c r="I198" s="45">
        <v>0</v>
      </c>
      <c r="J198" s="45">
        <v>0</v>
      </c>
      <c r="K198" s="45">
        <v>4</v>
      </c>
      <c r="L198" s="46">
        <v>2</v>
      </c>
      <c r="M198" s="47">
        <v>0</v>
      </c>
      <c r="N198" s="47">
        <v>0</v>
      </c>
      <c r="O198" s="45">
        <v>0</v>
      </c>
      <c r="P198" s="96">
        <v>160</v>
      </c>
    </row>
    <row r="199" spans="2:16" x14ac:dyDescent="0.3">
      <c r="B199" s="92" t="s">
        <v>117</v>
      </c>
      <c r="C199" s="93" t="s">
        <v>13</v>
      </c>
      <c r="D199" s="94" t="s">
        <v>227</v>
      </c>
      <c r="E199" s="95" t="s">
        <v>3</v>
      </c>
      <c r="F199" s="95">
        <v>2</v>
      </c>
      <c r="G199" s="45">
        <v>8</v>
      </c>
      <c r="H199" s="45">
        <v>4</v>
      </c>
      <c r="I199" s="45">
        <v>2</v>
      </c>
      <c r="J199" s="45">
        <v>2</v>
      </c>
      <c r="K199" s="45">
        <v>6</v>
      </c>
      <c r="L199" s="46">
        <v>2</v>
      </c>
      <c r="M199" s="47">
        <v>0.25</v>
      </c>
      <c r="N199" s="47">
        <v>0.5</v>
      </c>
      <c r="O199" s="45">
        <v>80</v>
      </c>
      <c r="P199" s="96">
        <v>200</v>
      </c>
    </row>
    <row r="200" spans="2:16" x14ac:dyDescent="0.3">
      <c r="B200" s="92" t="s">
        <v>83</v>
      </c>
      <c r="C200" s="93" t="s">
        <v>2</v>
      </c>
      <c r="D200" s="94" t="s">
        <v>289</v>
      </c>
      <c r="E200" s="95" t="s">
        <v>17</v>
      </c>
      <c r="F200" s="95">
        <v>1</v>
      </c>
      <c r="G200" s="45">
        <v>6</v>
      </c>
      <c r="H200" s="45">
        <v>6</v>
      </c>
      <c r="I200" s="45">
        <v>2</v>
      </c>
      <c r="J200" s="45">
        <v>2</v>
      </c>
      <c r="K200" s="45">
        <v>4</v>
      </c>
      <c r="L200" s="46">
        <v>4</v>
      </c>
      <c r="M200" s="47">
        <v>0.33333333333333331</v>
      </c>
      <c r="N200" s="47">
        <v>0.33333333333333331</v>
      </c>
      <c r="O200" s="45">
        <v>120</v>
      </c>
      <c r="P200" s="96">
        <v>240</v>
      </c>
    </row>
    <row r="201" spans="2:16" x14ac:dyDescent="0.3">
      <c r="B201" s="92" t="s">
        <v>67</v>
      </c>
      <c r="C201" s="93" t="s">
        <v>2</v>
      </c>
      <c r="D201" s="94" t="s">
        <v>273</v>
      </c>
      <c r="E201" s="95" t="s">
        <v>17</v>
      </c>
      <c r="F201" s="95">
        <v>1</v>
      </c>
      <c r="G201" s="45">
        <v>6</v>
      </c>
      <c r="H201" s="45">
        <v>6</v>
      </c>
      <c r="I201" s="45">
        <v>2</v>
      </c>
      <c r="J201" s="45">
        <v>2</v>
      </c>
      <c r="K201" s="45">
        <v>4</v>
      </c>
      <c r="L201" s="46">
        <v>4</v>
      </c>
      <c r="M201" s="47">
        <v>0.33333333333333331</v>
      </c>
      <c r="N201" s="47">
        <v>0.33333333333333331</v>
      </c>
      <c r="O201" s="45">
        <v>120</v>
      </c>
      <c r="P201" s="96">
        <v>240</v>
      </c>
    </row>
    <row r="202" spans="2:16" x14ac:dyDescent="0.3">
      <c r="B202" s="92" t="s">
        <v>73</v>
      </c>
      <c r="C202" s="93" t="s">
        <v>2</v>
      </c>
      <c r="D202" s="94" t="s">
        <v>231</v>
      </c>
      <c r="E202" s="95" t="s">
        <v>3</v>
      </c>
      <c r="F202" s="95">
        <v>2</v>
      </c>
      <c r="G202" s="45">
        <v>8</v>
      </c>
      <c r="H202" s="45">
        <v>4</v>
      </c>
      <c r="I202" s="45">
        <v>2</v>
      </c>
      <c r="J202" s="45">
        <v>2</v>
      </c>
      <c r="K202" s="45">
        <v>6</v>
      </c>
      <c r="L202" s="46">
        <v>2</v>
      </c>
      <c r="M202" s="47">
        <v>0.25</v>
      </c>
      <c r="N202" s="47">
        <v>0.5</v>
      </c>
      <c r="O202" s="45">
        <v>120</v>
      </c>
      <c r="P202" s="96">
        <v>200</v>
      </c>
    </row>
    <row r="203" spans="2:16" x14ac:dyDescent="0.3">
      <c r="B203" s="92" t="s">
        <v>288</v>
      </c>
      <c r="C203" s="93" t="s">
        <v>2</v>
      </c>
      <c r="D203" s="94" t="s">
        <v>319</v>
      </c>
      <c r="E203" s="95" t="s">
        <v>3</v>
      </c>
      <c r="F203" s="95">
        <v>1</v>
      </c>
      <c r="G203" s="45">
        <v>4</v>
      </c>
      <c r="H203" s="45">
        <v>2</v>
      </c>
      <c r="I203" s="45">
        <v>0</v>
      </c>
      <c r="J203" s="45">
        <v>0</v>
      </c>
      <c r="K203" s="45">
        <v>4</v>
      </c>
      <c r="L203" s="46">
        <v>2</v>
      </c>
      <c r="M203" s="47">
        <v>0</v>
      </c>
      <c r="N203" s="47">
        <v>0</v>
      </c>
      <c r="O203" s="45">
        <v>0</v>
      </c>
      <c r="P203" s="96">
        <v>160</v>
      </c>
    </row>
    <row r="204" spans="2:16" x14ac:dyDescent="0.3">
      <c r="B204" s="92" t="s">
        <v>159</v>
      </c>
      <c r="C204" s="93" t="s">
        <v>2</v>
      </c>
      <c r="D204" s="94" t="s">
        <v>298</v>
      </c>
      <c r="E204" s="95" t="s">
        <v>3</v>
      </c>
      <c r="F204" s="95">
        <v>1</v>
      </c>
      <c r="G204" s="45">
        <v>4</v>
      </c>
      <c r="H204" s="45">
        <v>2</v>
      </c>
      <c r="I204" s="45">
        <v>0</v>
      </c>
      <c r="J204" s="45">
        <v>0</v>
      </c>
      <c r="K204" s="45">
        <v>4</v>
      </c>
      <c r="L204" s="46">
        <v>2</v>
      </c>
      <c r="M204" s="47">
        <v>0</v>
      </c>
      <c r="N204" s="47">
        <v>0</v>
      </c>
      <c r="O204" s="45">
        <v>0</v>
      </c>
      <c r="P204" s="96">
        <v>160</v>
      </c>
    </row>
    <row r="205" spans="2:16" x14ac:dyDescent="0.3">
      <c r="B205" s="92" t="s">
        <v>331</v>
      </c>
      <c r="C205" s="93" t="s">
        <v>42</v>
      </c>
      <c r="D205" s="94" t="s">
        <v>302</v>
      </c>
      <c r="E205" s="95" t="s">
        <v>3</v>
      </c>
      <c r="F205" s="95">
        <v>1</v>
      </c>
      <c r="G205" s="45">
        <v>4</v>
      </c>
      <c r="H205" s="45">
        <v>2</v>
      </c>
      <c r="I205" s="45">
        <v>0</v>
      </c>
      <c r="J205" s="45">
        <v>0</v>
      </c>
      <c r="K205" s="45">
        <v>4</v>
      </c>
      <c r="L205" s="46">
        <v>2</v>
      </c>
      <c r="M205" s="47">
        <v>0</v>
      </c>
      <c r="N205" s="47">
        <v>0</v>
      </c>
      <c r="O205" s="45">
        <v>0</v>
      </c>
      <c r="P205" s="96">
        <v>160</v>
      </c>
    </row>
    <row r="206" spans="2:16" x14ac:dyDescent="0.3">
      <c r="B206" s="92" t="s">
        <v>211</v>
      </c>
      <c r="C206" s="93" t="s">
        <v>36</v>
      </c>
      <c r="D206" s="94" t="s">
        <v>340</v>
      </c>
      <c r="E206" s="95" t="s">
        <v>3</v>
      </c>
      <c r="F206" s="95">
        <v>1</v>
      </c>
      <c r="G206" s="45">
        <v>4</v>
      </c>
      <c r="H206" s="45">
        <v>2</v>
      </c>
      <c r="I206" s="45">
        <v>0</v>
      </c>
      <c r="J206" s="45">
        <v>0</v>
      </c>
      <c r="K206" s="45">
        <v>4</v>
      </c>
      <c r="L206" s="46">
        <v>2</v>
      </c>
      <c r="M206" s="47">
        <v>0</v>
      </c>
      <c r="N206" s="47">
        <v>0</v>
      </c>
      <c r="O206" s="45">
        <v>0</v>
      </c>
      <c r="P206" s="96">
        <v>160</v>
      </c>
    </row>
    <row r="207" spans="2:16" x14ac:dyDescent="0.3">
      <c r="B207" s="92" t="s">
        <v>207</v>
      </c>
      <c r="C207" s="93" t="s">
        <v>36</v>
      </c>
      <c r="D207" s="94" t="s">
        <v>338</v>
      </c>
      <c r="E207" s="95" t="s">
        <v>3</v>
      </c>
      <c r="F207" s="95">
        <v>1</v>
      </c>
      <c r="G207" s="45">
        <v>4</v>
      </c>
      <c r="H207" s="45">
        <v>2</v>
      </c>
      <c r="I207" s="45">
        <v>0</v>
      </c>
      <c r="J207" s="45">
        <v>0</v>
      </c>
      <c r="K207" s="45">
        <v>4</v>
      </c>
      <c r="L207" s="46">
        <v>2</v>
      </c>
      <c r="M207" s="47">
        <v>0</v>
      </c>
      <c r="N207" s="47">
        <v>0</v>
      </c>
      <c r="O207" s="45">
        <v>0</v>
      </c>
      <c r="P207" s="96">
        <v>160</v>
      </c>
    </row>
    <row r="208" spans="2:16" x14ac:dyDescent="0.3">
      <c r="B208" s="92" t="s">
        <v>512</v>
      </c>
      <c r="C208" s="93" t="s">
        <v>36</v>
      </c>
      <c r="D208" s="94" t="s">
        <v>317</v>
      </c>
      <c r="E208" s="95" t="s">
        <v>17</v>
      </c>
      <c r="F208" s="95">
        <v>1</v>
      </c>
      <c r="G208" s="45">
        <v>6</v>
      </c>
      <c r="H208" s="45">
        <v>6</v>
      </c>
      <c r="I208" s="45">
        <v>2</v>
      </c>
      <c r="J208" s="45">
        <v>2</v>
      </c>
      <c r="K208" s="45">
        <v>4</v>
      </c>
      <c r="L208" s="46">
        <v>4</v>
      </c>
      <c r="M208" s="47">
        <v>0.33333333333333331</v>
      </c>
      <c r="N208" s="47">
        <v>0.33333333333333331</v>
      </c>
      <c r="O208" s="45">
        <v>0</v>
      </c>
      <c r="P208" s="96">
        <v>240</v>
      </c>
    </row>
    <row r="209" spans="2:16" x14ac:dyDescent="0.3">
      <c r="B209" s="92" t="s">
        <v>97</v>
      </c>
      <c r="C209" s="93" t="s">
        <v>36</v>
      </c>
      <c r="D209" s="94" t="s">
        <v>311</v>
      </c>
      <c r="E209" s="95" t="s">
        <v>10</v>
      </c>
      <c r="F209" s="95">
        <v>1</v>
      </c>
      <c r="G209" s="45">
        <v>8</v>
      </c>
      <c r="H209" s="45">
        <v>8</v>
      </c>
      <c r="I209" s="45">
        <v>0</v>
      </c>
      <c r="J209" s="45">
        <v>0</v>
      </c>
      <c r="K209" s="45">
        <v>8</v>
      </c>
      <c r="L209" s="46">
        <v>8</v>
      </c>
      <c r="M209" s="47">
        <v>0</v>
      </c>
      <c r="N209" s="47">
        <v>0</v>
      </c>
      <c r="O209" s="45">
        <v>0</v>
      </c>
      <c r="P209" s="96">
        <v>480</v>
      </c>
    </row>
    <row r="210" spans="2:16" x14ac:dyDescent="0.3">
      <c r="B210" s="92" t="s">
        <v>385</v>
      </c>
      <c r="C210" s="93" t="s">
        <v>386</v>
      </c>
      <c r="D210" s="94" t="s">
        <v>461</v>
      </c>
      <c r="E210" s="95" t="s">
        <v>3</v>
      </c>
      <c r="F210" s="95">
        <v>1</v>
      </c>
      <c r="G210" s="45">
        <v>4</v>
      </c>
      <c r="H210" s="45">
        <v>2</v>
      </c>
      <c r="I210" s="45">
        <v>0</v>
      </c>
      <c r="J210" s="45">
        <v>0</v>
      </c>
      <c r="K210" s="45">
        <v>4</v>
      </c>
      <c r="L210" s="46">
        <v>2</v>
      </c>
      <c r="M210" s="47">
        <v>0</v>
      </c>
      <c r="N210" s="47">
        <v>0</v>
      </c>
      <c r="O210" s="45">
        <v>0</v>
      </c>
      <c r="P210" s="96">
        <v>160</v>
      </c>
    </row>
    <row r="211" spans="2:16" x14ac:dyDescent="0.3">
      <c r="B211" s="92" t="s">
        <v>242</v>
      </c>
      <c r="C211" s="93" t="s">
        <v>131</v>
      </c>
      <c r="D211" s="94" t="s">
        <v>326</v>
      </c>
      <c r="E211" s="95" t="s">
        <v>3</v>
      </c>
      <c r="F211" s="95">
        <v>1</v>
      </c>
      <c r="G211" s="45">
        <v>4</v>
      </c>
      <c r="H211" s="45">
        <v>2</v>
      </c>
      <c r="I211" s="45">
        <v>5</v>
      </c>
      <c r="J211" s="45">
        <v>2</v>
      </c>
      <c r="K211" s="45">
        <v>-1</v>
      </c>
      <c r="L211" s="46">
        <v>0</v>
      </c>
      <c r="M211" s="47">
        <v>1.25</v>
      </c>
      <c r="N211" s="47">
        <v>1</v>
      </c>
      <c r="O211" s="45">
        <v>40</v>
      </c>
      <c r="P211" s="96">
        <v>-20</v>
      </c>
    </row>
    <row r="212" spans="2:16" x14ac:dyDescent="0.3">
      <c r="B212" s="99" t="s">
        <v>414</v>
      </c>
      <c r="C212" s="93" t="s">
        <v>131</v>
      </c>
      <c r="D212" s="94" t="s">
        <v>480</v>
      </c>
      <c r="E212" s="95" t="s">
        <v>10</v>
      </c>
      <c r="F212" s="95">
        <v>1</v>
      </c>
      <c r="G212" s="45">
        <v>8</v>
      </c>
      <c r="H212" s="45">
        <v>8</v>
      </c>
      <c r="I212" s="45">
        <v>1</v>
      </c>
      <c r="J212" s="45">
        <v>0</v>
      </c>
      <c r="K212" s="45">
        <v>7</v>
      </c>
      <c r="L212" s="46">
        <v>8</v>
      </c>
      <c r="M212" s="47">
        <v>0.125</v>
      </c>
      <c r="N212" s="47">
        <v>0</v>
      </c>
      <c r="O212" s="45">
        <v>0</v>
      </c>
      <c r="P212" s="96">
        <v>460</v>
      </c>
    </row>
    <row r="213" spans="2:16" x14ac:dyDescent="0.3">
      <c r="B213" s="92" t="s">
        <v>308</v>
      </c>
      <c r="C213" s="93" t="s">
        <v>131</v>
      </c>
      <c r="D213" s="94" t="s">
        <v>328</v>
      </c>
      <c r="E213" s="95" t="s">
        <v>3</v>
      </c>
      <c r="F213" s="95">
        <v>1</v>
      </c>
      <c r="G213" s="45">
        <v>4</v>
      </c>
      <c r="H213" s="45">
        <v>2</v>
      </c>
      <c r="I213" s="45">
        <v>0</v>
      </c>
      <c r="J213" s="45">
        <v>0</v>
      </c>
      <c r="K213" s="45">
        <v>4</v>
      </c>
      <c r="L213" s="46">
        <v>2</v>
      </c>
      <c r="M213" s="47">
        <v>0</v>
      </c>
      <c r="N213" s="47">
        <v>0</v>
      </c>
      <c r="O213" s="45">
        <v>0</v>
      </c>
      <c r="P213" s="96">
        <v>160</v>
      </c>
    </row>
    <row r="214" spans="2:16" x14ac:dyDescent="0.3">
      <c r="B214" s="92" t="s">
        <v>402</v>
      </c>
      <c r="C214" s="93" t="s">
        <v>386</v>
      </c>
      <c r="D214" s="94" t="s">
        <v>462</v>
      </c>
      <c r="E214" s="95" t="s">
        <v>3</v>
      </c>
      <c r="F214" s="95">
        <v>1</v>
      </c>
      <c r="G214" s="45">
        <v>4</v>
      </c>
      <c r="H214" s="45">
        <v>2</v>
      </c>
      <c r="I214" s="45">
        <v>0</v>
      </c>
      <c r="J214" s="45">
        <v>0</v>
      </c>
      <c r="K214" s="45">
        <v>4</v>
      </c>
      <c r="L214" s="46">
        <v>2</v>
      </c>
      <c r="M214" s="47">
        <v>0</v>
      </c>
      <c r="N214" s="47">
        <v>0</v>
      </c>
      <c r="O214" s="45">
        <v>0</v>
      </c>
      <c r="P214" s="96">
        <v>160</v>
      </c>
    </row>
    <row r="215" spans="2:16" x14ac:dyDescent="0.3">
      <c r="B215" s="92" t="s">
        <v>528</v>
      </c>
      <c r="C215" s="93" t="s">
        <v>13</v>
      </c>
      <c r="D215" s="94" t="s">
        <v>538</v>
      </c>
      <c r="E215" s="95" t="s">
        <v>3</v>
      </c>
      <c r="F215" s="95">
        <v>1</v>
      </c>
      <c r="G215" s="45">
        <v>4</v>
      </c>
      <c r="H215" s="45">
        <v>2</v>
      </c>
      <c r="I215" s="45">
        <v>0</v>
      </c>
      <c r="J215" s="45">
        <v>0</v>
      </c>
      <c r="K215" s="45">
        <v>4</v>
      </c>
      <c r="L215" s="46">
        <v>2</v>
      </c>
      <c r="M215" s="47">
        <v>0</v>
      </c>
      <c r="N215" s="47">
        <v>0</v>
      </c>
      <c r="O215" s="45">
        <v>0</v>
      </c>
      <c r="P215" s="96">
        <v>160</v>
      </c>
    </row>
    <row r="216" spans="2:16" x14ac:dyDescent="0.3">
      <c r="B216" s="92" t="s">
        <v>20</v>
      </c>
      <c r="C216" s="93" t="s">
        <v>6</v>
      </c>
      <c r="D216" s="94" t="s">
        <v>324</v>
      </c>
      <c r="E216" s="95" t="s">
        <v>17</v>
      </c>
      <c r="F216" s="95">
        <v>2</v>
      </c>
      <c r="G216" s="45">
        <v>12</v>
      </c>
      <c r="H216" s="45">
        <v>12</v>
      </c>
      <c r="I216" s="45">
        <v>10</v>
      </c>
      <c r="J216" s="45">
        <v>4</v>
      </c>
      <c r="K216" s="45">
        <v>2</v>
      </c>
      <c r="L216" s="46">
        <v>8</v>
      </c>
      <c r="M216" s="47">
        <v>0.83333333333333337</v>
      </c>
      <c r="N216" s="47">
        <v>0.33333333333333331</v>
      </c>
      <c r="O216" s="45">
        <v>240</v>
      </c>
      <c r="P216" s="96">
        <v>360</v>
      </c>
    </row>
    <row r="217" spans="2:16" x14ac:dyDescent="0.3">
      <c r="B217" s="92" t="s">
        <v>514</v>
      </c>
      <c r="C217" s="93" t="s">
        <v>530</v>
      </c>
      <c r="D217" s="94" t="s">
        <v>531</v>
      </c>
      <c r="E217" s="95" t="s">
        <v>17</v>
      </c>
      <c r="F217" s="95">
        <v>1</v>
      </c>
      <c r="G217" s="45">
        <v>6</v>
      </c>
      <c r="H217" s="45">
        <v>6</v>
      </c>
      <c r="I217" s="45">
        <v>0</v>
      </c>
      <c r="J217" s="45">
        <v>0</v>
      </c>
      <c r="K217" s="45">
        <v>6</v>
      </c>
      <c r="L217" s="46">
        <v>6</v>
      </c>
      <c r="M217" s="47">
        <v>0</v>
      </c>
      <c r="N217" s="47">
        <v>0</v>
      </c>
      <c r="O217" s="45">
        <v>0</v>
      </c>
      <c r="P217" s="96">
        <v>360</v>
      </c>
    </row>
    <row r="218" spans="2:16" x14ac:dyDescent="0.3">
      <c r="B218" s="92" t="s">
        <v>284</v>
      </c>
      <c r="C218" s="93" t="s">
        <v>9</v>
      </c>
      <c r="D218" s="94" t="s">
        <v>334</v>
      </c>
      <c r="E218" s="95" t="s">
        <v>3</v>
      </c>
      <c r="F218" s="95">
        <v>1</v>
      </c>
      <c r="G218" s="45">
        <v>4</v>
      </c>
      <c r="H218" s="45">
        <v>2</v>
      </c>
      <c r="I218" s="45">
        <v>0</v>
      </c>
      <c r="J218" s="45">
        <v>0</v>
      </c>
      <c r="K218" s="45">
        <v>4</v>
      </c>
      <c r="L218" s="46">
        <v>2</v>
      </c>
      <c r="M218" s="47">
        <v>0</v>
      </c>
      <c r="N218" s="47">
        <v>0</v>
      </c>
      <c r="O218" s="45">
        <v>0</v>
      </c>
      <c r="P218" s="96">
        <v>160</v>
      </c>
    </row>
    <row r="219" spans="2:16" x14ac:dyDescent="0.3">
      <c r="B219" s="92" t="s">
        <v>373</v>
      </c>
      <c r="C219" s="93" t="s">
        <v>42</v>
      </c>
      <c r="D219" s="94" t="s">
        <v>463</v>
      </c>
      <c r="E219" s="95" t="s">
        <v>3</v>
      </c>
      <c r="F219" s="95">
        <v>1</v>
      </c>
      <c r="G219" s="45">
        <v>4</v>
      </c>
      <c r="H219" s="45">
        <v>2</v>
      </c>
      <c r="I219" s="45">
        <v>0</v>
      </c>
      <c r="J219" s="45">
        <v>0</v>
      </c>
      <c r="K219" s="45">
        <v>4</v>
      </c>
      <c r="L219" s="46">
        <v>2</v>
      </c>
      <c r="M219" s="47">
        <v>0</v>
      </c>
      <c r="N219" s="47">
        <v>0</v>
      </c>
      <c r="O219" s="45">
        <v>0</v>
      </c>
      <c r="P219" s="96">
        <v>160</v>
      </c>
    </row>
    <row r="220" spans="2:16" x14ac:dyDescent="0.3">
      <c r="B220" s="92" t="s">
        <v>276</v>
      </c>
      <c r="C220" s="93" t="s">
        <v>42</v>
      </c>
      <c r="D220" s="94" t="s">
        <v>336</v>
      </c>
      <c r="E220" s="95" t="s">
        <v>3</v>
      </c>
      <c r="F220" s="95">
        <v>1</v>
      </c>
      <c r="G220" s="45">
        <v>4</v>
      </c>
      <c r="H220" s="45">
        <v>2</v>
      </c>
      <c r="I220" s="45">
        <v>0</v>
      </c>
      <c r="J220" s="45">
        <v>0</v>
      </c>
      <c r="K220" s="45">
        <v>4</v>
      </c>
      <c r="L220" s="46">
        <v>2</v>
      </c>
      <c r="M220" s="47">
        <v>0</v>
      </c>
      <c r="N220" s="47">
        <v>0</v>
      </c>
      <c r="O220" s="45">
        <v>0</v>
      </c>
      <c r="P220" s="96">
        <v>160</v>
      </c>
    </row>
    <row r="221" spans="2:16" x14ac:dyDescent="0.3">
      <c r="B221" s="92" t="s">
        <v>294</v>
      </c>
      <c r="C221" s="93" t="s">
        <v>42</v>
      </c>
      <c r="D221" s="94" t="s">
        <v>300</v>
      </c>
      <c r="E221" s="95" t="s">
        <v>3</v>
      </c>
      <c r="F221" s="95">
        <v>1</v>
      </c>
      <c r="G221" s="45">
        <v>4</v>
      </c>
      <c r="H221" s="45">
        <v>2</v>
      </c>
      <c r="I221" s="45">
        <v>0</v>
      </c>
      <c r="J221" s="45">
        <v>0</v>
      </c>
      <c r="K221" s="45">
        <v>4</v>
      </c>
      <c r="L221" s="46">
        <v>2</v>
      </c>
      <c r="M221" s="47">
        <v>0</v>
      </c>
      <c r="N221" s="47">
        <v>0</v>
      </c>
      <c r="O221" s="45">
        <v>0</v>
      </c>
      <c r="P221" s="96">
        <v>160</v>
      </c>
    </row>
    <row r="222" spans="2:16" x14ac:dyDescent="0.3">
      <c r="B222" s="92" t="s">
        <v>368</v>
      </c>
      <c r="C222" s="93" t="s">
        <v>42</v>
      </c>
      <c r="D222" s="94" t="s">
        <v>315</v>
      </c>
      <c r="E222" s="95" t="s">
        <v>3</v>
      </c>
      <c r="F222" s="95">
        <v>1</v>
      </c>
      <c r="G222" s="45">
        <v>4</v>
      </c>
      <c r="H222" s="45">
        <v>2</v>
      </c>
      <c r="I222" s="45">
        <v>0</v>
      </c>
      <c r="J222" s="45">
        <v>0</v>
      </c>
      <c r="K222" s="45">
        <v>4</v>
      </c>
      <c r="L222" s="46">
        <v>2</v>
      </c>
      <c r="M222" s="47">
        <v>0</v>
      </c>
      <c r="N222" s="47">
        <v>0</v>
      </c>
      <c r="O222" s="45">
        <v>0</v>
      </c>
      <c r="P222" s="96">
        <v>160</v>
      </c>
    </row>
    <row r="223" spans="2:16" x14ac:dyDescent="0.3">
      <c r="B223" s="92" t="s">
        <v>384</v>
      </c>
      <c r="C223" s="93" t="s">
        <v>36</v>
      </c>
      <c r="D223" s="94" t="s">
        <v>464</v>
      </c>
      <c r="E223" s="95" t="s">
        <v>3</v>
      </c>
      <c r="F223" s="95">
        <v>1</v>
      </c>
      <c r="G223" s="45">
        <v>4</v>
      </c>
      <c r="H223" s="45">
        <v>2</v>
      </c>
      <c r="I223" s="45">
        <v>0</v>
      </c>
      <c r="J223" s="45">
        <v>2</v>
      </c>
      <c r="K223" s="45">
        <v>4</v>
      </c>
      <c r="L223" s="46">
        <v>0</v>
      </c>
      <c r="M223" s="47">
        <v>0</v>
      </c>
      <c r="N223" s="47">
        <v>1</v>
      </c>
      <c r="O223" s="45">
        <v>0</v>
      </c>
      <c r="P223" s="96">
        <v>80</v>
      </c>
    </row>
    <row r="224" spans="2:16" x14ac:dyDescent="0.3">
      <c r="B224" s="92" t="s">
        <v>323</v>
      </c>
      <c r="C224" s="93" t="s">
        <v>42</v>
      </c>
      <c r="D224" s="94" t="s">
        <v>330</v>
      </c>
      <c r="E224" s="95" t="s">
        <v>3</v>
      </c>
      <c r="F224" s="95">
        <v>1</v>
      </c>
      <c r="G224" s="45">
        <v>4</v>
      </c>
      <c r="H224" s="45">
        <v>2</v>
      </c>
      <c r="I224" s="45">
        <v>0</v>
      </c>
      <c r="J224" s="45">
        <v>0</v>
      </c>
      <c r="K224" s="45">
        <v>4</v>
      </c>
      <c r="L224" s="46">
        <v>2</v>
      </c>
      <c r="M224" s="47">
        <v>0</v>
      </c>
      <c r="N224" s="47">
        <v>0</v>
      </c>
      <c r="O224" s="45">
        <v>0</v>
      </c>
      <c r="P224" s="96">
        <v>160</v>
      </c>
    </row>
    <row r="225" spans="2:16" x14ac:dyDescent="0.3">
      <c r="B225" s="92" t="s">
        <v>141</v>
      </c>
      <c r="C225" s="93" t="s">
        <v>42</v>
      </c>
      <c r="D225" s="94" t="s">
        <v>307</v>
      </c>
      <c r="E225" s="95" t="s">
        <v>3</v>
      </c>
      <c r="F225" s="95">
        <v>1</v>
      </c>
      <c r="G225" s="45">
        <v>4</v>
      </c>
      <c r="H225" s="45">
        <v>2</v>
      </c>
      <c r="I225" s="45">
        <v>0</v>
      </c>
      <c r="J225" s="45">
        <v>0</v>
      </c>
      <c r="K225" s="45">
        <v>4</v>
      </c>
      <c r="L225" s="46">
        <v>2</v>
      </c>
      <c r="M225" s="47">
        <v>0</v>
      </c>
      <c r="N225" s="47">
        <v>0</v>
      </c>
      <c r="O225" s="45">
        <v>0</v>
      </c>
      <c r="P225" s="96">
        <v>160</v>
      </c>
    </row>
    <row r="226" spans="2:16" x14ac:dyDescent="0.3">
      <c r="B226" s="92" t="s">
        <v>149</v>
      </c>
      <c r="C226" s="93" t="s">
        <v>9</v>
      </c>
      <c r="D226" s="94" t="s">
        <v>322</v>
      </c>
      <c r="E226" s="95" t="s">
        <v>3</v>
      </c>
      <c r="F226" s="95">
        <v>2</v>
      </c>
      <c r="G226" s="45">
        <v>8</v>
      </c>
      <c r="H226" s="45">
        <v>4</v>
      </c>
      <c r="I226" s="45">
        <v>2</v>
      </c>
      <c r="J226" s="45">
        <v>0</v>
      </c>
      <c r="K226" s="45">
        <v>6</v>
      </c>
      <c r="L226" s="46">
        <v>4</v>
      </c>
      <c r="M226" s="47">
        <v>0.25</v>
      </c>
      <c r="N226" s="47">
        <v>0</v>
      </c>
      <c r="O226" s="45">
        <v>0</v>
      </c>
      <c r="P226" s="96">
        <v>280</v>
      </c>
    </row>
    <row r="227" spans="2:16" x14ac:dyDescent="0.3">
      <c r="B227" s="92" t="s">
        <v>78</v>
      </c>
      <c r="C227" s="93" t="s">
        <v>2</v>
      </c>
      <c r="D227" s="94" t="s">
        <v>304</v>
      </c>
      <c r="E227" s="95" t="s">
        <v>3</v>
      </c>
      <c r="F227" s="95">
        <v>1</v>
      </c>
      <c r="G227" s="45">
        <v>4</v>
      </c>
      <c r="H227" s="45">
        <v>2</v>
      </c>
      <c r="I227" s="45">
        <v>0</v>
      </c>
      <c r="J227" s="45">
        <v>0</v>
      </c>
      <c r="K227" s="45">
        <v>4</v>
      </c>
      <c r="L227" s="46">
        <v>2</v>
      </c>
      <c r="M227" s="47">
        <v>0</v>
      </c>
      <c r="N227" s="47">
        <v>0</v>
      </c>
      <c r="O227" s="45">
        <v>0</v>
      </c>
      <c r="P227" s="96">
        <v>160</v>
      </c>
    </row>
    <row r="228" spans="2:16" x14ac:dyDescent="0.3">
      <c r="B228" s="92" t="s">
        <v>396</v>
      </c>
      <c r="C228" s="93" t="s">
        <v>386</v>
      </c>
      <c r="D228" s="94" t="s">
        <v>465</v>
      </c>
      <c r="E228" s="95" t="s">
        <v>3</v>
      </c>
      <c r="F228" s="95">
        <v>1</v>
      </c>
      <c r="G228" s="45">
        <v>4</v>
      </c>
      <c r="H228" s="45">
        <v>2</v>
      </c>
      <c r="I228" s="45">
        <v>2</v>
      </c>
      <c r="J228" s="45">
        <v>0</v>
      </c>
      <c r="K228" s="45">
        <v>2</v>
      </c>
      <c r="L228" s="46">
        <v>2</v>
      </c>
      <c r="M228" s="47">
        <v>0.5</v>
      </c>
      <c r="N228" s="47">
        <v>0</v>
      </c>
      <c r="O228" s="45">
        <v>0</v>
      </c>
      <c r="P228" s="96">
        <v>120</v>
      </c>
    </row>
    <row r="229" spans="2:16" x14ac:dyDescent="0.3">
      <c r="B229" s="92" t="s">
        <v>292</v>
      </c>
      <c r="C229" s="93" t="s">
        <v>9</v>
      </c>
      <c r="D229" s="94" t="s">
        <v>313</v>
      </c>
      <c r="E229" s="95" t="s">
        <v>3</v>
      </c>
      <c r="F229" s="95">
        <v>1</v>
      </c>
      <c r="G229" s="45">
        <v>4</v>
      </c>
      <c r="H229" s="45">
        <v>2</v>
      </c>
      <c r="I229" s="45">
        <v>0</v>
      </c>
      <c r="J229" s="45">
        <v>0</v>
      </c>
      <c r="K229" s="45">
        <v>4</v>
      </c>
      <c r="L229" s="46">
        <v>2</v>
      </c>
      <c r="M229" s="47">
        <v>0</v>
      </c>
      <c r="N229" s="47">
        <v>0</v>
      </c>
      <c r="O229" s="45">
        <v>0</v>
      </c>
      <c r="P229" s="96">
        <v>160</v>
      </c>
    </row>
    <row r="230" spans="2:16" x14ac:dyDescent="0.3">
      <c r="B230" s="92" t="s">
        <v>353</v>
      </c>
      <c r="C230" s="93" t="s">
        <v>16</v>
      </c>
      <c r="D230" s="94" t="s">
        <v>332</v>
      </c>
      <c r="E230" s="95" t="s">
        <v>3</v>
      </c>
      <c r="F230" s="95">
        <v>1</v>
      </c>
      <c r="G230" s="45">
        <v>4</v>
      </c>
      <c r="H230" s="45">
        <v>2</v>
      </c>
      <c r="I230" s="45">
        <v>2</v>
      </c>
      <c r="J230" s="45">
        <v>1</v>
      </c>
      <c r="K230" s="45">
        <v>2</v>
      </c>
      <c r="L230" s="46">
        <v>1</v>
      </c>
      <c r="M230" s="47">
        <v>0.5</v>
      </c>
      <c r="N230" s="47">
        <v>0.5</v>
      </c>
      <c r="O230" s="45">
        <v>0</v>
      </c>
      <c r="P230" s="96">
        <v>80</v>
      </c>
    </row>
    <row r="231" spans="2:16" x14ac:dyDescent="0.3">
      <c r="B231" s="92" t="s">
        <v>301</v>
      </c>
      <c r="C231" s="93" t="s">
        <v>16</v>
      </c>
      <c r="D231" s="94" t="s">
        <v>309</v>
      </c>
      <c r="E231" s="95" t="s">
        <v>3</v>
      </c>
      <c r="F231" s="95">
        <v>1</v>
      </c>
      <c r="G231" s="45">
        <v>4</v>
      </c>
      <c r="H231" s="45">
        <v>2</v>
      </c>
      <c r="I231" s="45">
        <v>2</v>
      </c>
      <c r="J231" s="45">
        <v>2</v>
      </c>
      <c r="K231" s="45">
        <v>2</v>
      </c>
      <c r="L231" s="46">
        <v>0</v>
      </c>
      <c r="M231" s="47">
        <v>0.5</v>
      </c>
      <c r="N231" s="47">
        <v>1</v>
      </c>
      <c r="O231" s="45">
        <v>0</v>
      </c>
      <c r="P231" s="96">
        <v>40</v>
      </c>
    </row>
    <row r="232" spans="2:16" x14ac:dyDescent="0.3">
      <c r="B232" s="92" t="s">
        <v>346</v>
      </c>
      <c r="C232" s="93" t="s">
        <v>16</v>
      </c>
      <c r="D232" s="94" t="s">
        <v>365</v>
      </c>
      <c r="E232" s="95" t="s">
        <v>3</v>
      </c>
      <c r="F232" s="95">
        <v>1</v>
      </c>
      <c r="G232" s="45">
        <v>4</v>
      </c>
      <c r="H232" s="45">
        <v>2</v>
      </c>
      <c r="I232" s="45">
        <v>2</v>
      </c>
      <c r="J232" s="45">
        <v>2</v>
      </c>
      <c r="K232" s="45">
        <v>2</v>
      </c>
      <c r="L232" s="46">
        <v>0</v>
      </c>
      <c r="M232" s="47">
        <v>0.5</v>
      </c>
      <c r="N232" s="47">
        <v>1</v>
      </c>
      <c r="O232" s="45">
        <v>0</v>
      </c>
      <c r="P232" s="96">
        <v>40</v>
      </c>
    </row>
    <row r="233" spans="2:16" x14ac:dyDescent="0.3">
      <c r="B233" s="92" t="s">
        <v>264</v>
      </c>
      <c r="C233" s="93" t="s">
        <v>9</v>
      </c>
      <c r="D233" s="94" t="s">
        <v>343</v>
      </c>
      <c r="E233" s="95" t="s">
        <v>3</v>
      </c>
      <c r="F233" s="95">
        <v>1</v>
      </c>
      <c r="G233" s="45">
        <v>4</v>
      </c>
      <c r="H233" s="45">
        <v>2</v>
      </c>
      <c r="I233" s="45">
        <v>0</v>
      </c>
      <c r="J233" s="45">
        <v>0</v>
      </c>
      <c r="K233" s="45">
        <v>4</v>
      </c>
      <c r="L233" s="46">
        <v>2</v>
      </c>
      <c r="M233" s="47">
        <v>0</v>
      </c>
      <c r="N233" s="47">
        <v>0</v>
      </c>
      <c r="O233" s="45">
        <v>0</v>
      </c>
      <c r="P233" s="96">
        <v>160</v>
      </c>
    </row>
    <row r="234" spans="2:16" x14ac:dyDescent="0.3">
      <c r="B234" s="92" t="s">
        <v>119</v>
      </c>
      <c r="C234" s="93" t="s">
        <v>86</v>
      </c>
      <c r="D234" s="94" t="s">
        <v>363</v>
      </c>
      <c r="E234" s="95" t="s">
        <v>3</v>
      </c>
      <c r="F234" s="95">
        <v>1</v>
      </c>
      <c r="G234" s="45">
        <v>4</v>
      </c>
      <c r="H234" s="45">
        <v>2</v>
      </c>
      <c r="I234" s="45">
        <v>0</v>
      </c>
      <c r="J234" s="45">
        <v>0</v>
      </c>
      <c r="K234" s="45">
        <v>4</v>
      </c>
      <c r="L234" s="46">
        <v>2</v>
      </c>
      <c r="M234" s="47">
        <v>0</v>
      </c>
      <c r="N234" s="47">
        <v>0</v>
      </c>
      <c r="O234" s="45">
        <v>0</v>
      </c>
      <c r="P234" s="96">
        <v>160</v>
      </c>
    </row>
    <row r="235" spans="2:16" x14ac:dyDescent="0.3">
      <c r="B235" s="92" t="s">
        <v>262</v>
      </c>
      <c r="C235" s="93" t="s">
        <v>530</v>
      </c>
      <c r="D235" s="94" t="s">
        <v>345</v>
      </c>
      <c r="E235" s="95" t="s">
        <v>3</v>
      </c>
      <c r="F235" s="95">
        <v>1</v>
      </c>
      <c r="G235" s="45">
        <v>4</v>
      </c>
      <c r="H235" s="45">
        <v>2</v>
      </c>
      <c r="I235" s="45">
        <v>0</v>
      </c>
      <c r="J235" s="45">
        <v>0</v>
      </c>
      <c r="K235" s="45">
        <v>4</v>
      </c>
      <c r="L235" s="46">
        <v>2</v>
      </c>
      <c r="M235" s="47">
        <v>0</v>
      </c>
      <c r="N235" s="47">
        <v>0</v>
      </c>
      <c r="O235" s="45">
        <v>0</v>
      </c>
      <c r="P235" s="96">
        <v>160</v>
      </c>
    </row>
    <row r="236" spans="2:16" x14ac:dyDescent="0.3">
      <c r="B236" s="92" t="s">
        <v>381</v>
      </c>
      <c r="C236" s="93" t="s">
        <v>530</v>
      </c>
      <c r="D236" s="94" t="s">
        <v>466</v>
      </c>
      <c r="E236" s="95" t="s">
        <v>3</v>
      </c>
      <c r="F236" s="95">
        <v>1</v>
      </c>
      <c r="G236" s="45">
        <v>4</v>
      </c>
      <c r="H236" s="45">
        <v>2</v>
      </c>
      <c r="I236" s="45">
        <v>0</v>
      </c>
      <c r="J236" s="45">
        <v>0</v>
      </c>
      <c r="K236" s="45">
        <v>4</v>
      </c>
      <c r="L236" s="46">
        <v>2</v>
      </c>
      <c r="M236" s="47">
        <v>0</v>
      </c>
      <c r="N236" s="47">
        <v>0</v>
      </c>
      <c r="O236" s="45">
        <v>0</v>
      </c>
      <c r="P236" s="96">
        <v>160</v>
      </c>
    </row>
    <row r="237" spans="2:16" x14ac:dyDescent="0.3">
      <c r="B237" s="92" t="s">
        <v>194</v>
      </c>
      <c r="C237" s="93" t="s">
        <v>530</v>
      </c>
      <c r="D237" s="94" t="s">
        <v>361</v>
      </c>
      <c r="E237" s="95" t="s">
        <v>3</v>
      </c>
      <c r="F237" s="95">
        <v>2</v>
      </c>
      <c r="G237" s="45">
        <v>8</v>
      </c>
      <c r="H237" s="45">
        <v>4</v>
      </c>
      <c r="I237" s="45">
        <v>1</v>
      </c>
      <c r="J237" s="45">
        <v>0</v>
      </c>
      <c r="K237" s="45">
        <v>7</v>
      </c>
      <c r="L237" s="46">
        <v>4</v>
      </c>
      <c r="M237" s="47">
        <v>0.125</v>
      </c>
      <c r="N237" s="47">
        <v>0</v>
      </c>
      <c r="O237" s="45">
        <v>0</v>
      </c>
      <c r="P237" s="96">
        <v>300</v>
      </c>
    </row>
    <row r="238" spans="2:16" x14ac:dyDescent="0.3">
      <c r="B238" s="92" t="s">
        <v>165</v>
      </c>
      <c r="C238" s="93" t="s">
        <v>530</v>
      </c>
      <c r="D238" s="94" t="s">
        <v>347</v>
      </c>
      <c r="E238" s="95" t="s">
        <v>3</v>
      </c>
      <c r="F238" s="95">
        <v>2</v>
      </c>
      <c r="G238" s="45">
        <v>8</v>
      </c>
      <c r="H238" s="45">
        <v>4</v>
      </c>
      <c r="I238" s="45">
        <v>0</v>
      </c>
      <c r="J238" s="45">
        <v>0</v>
      </c>
      <c r="K238" s="45">
        <v>8</v>
      </c>
      <c r="L238" s="46">
        <v>4</v>
      </c>
      <c r="M238" s="47">
        <v>0</v>
      </c>
      <c r="N238" s="47">
        <v>0</v>
      </c>
      <c r="O238" s="45">
        <v>0</v>
      </c>
      <c r="P238" s="96">
        <v>320</v>
      </c>
    </row>
    <row r="239" spans="2:16" x14ac:dyDescent="0.3">
      <c r="B239" s="92" t="s">
        <v>344</v>
      </c>
      <c r="C239" s="93" t="s">
        <v>530</v>
      </c>
      <c r="D239" s="94" t="s">
        <v>359</v>
      </c>
      <c r="E239" s="95" t="s">
        <v>3</v>
      </c>
      <c r="F239" s="95">
        <v>2</v>
      </c>
      <c r="G239" s="45">
        <v>8</v>
      </c>
      <c r="H239" s="45">
        <v>4</v>
      </c>
      <c r="I239" s="45">
        <v>1</v>
      </c>
      <c r="J239" s="45">
        <v>0</v>
      </c>
      <c r="K239" s="45">
        <v>7</v>
      </c>
      <c r="L239" s="46">
        <v>4</v>
      </c>
      <c r="M239" s="47">
        <v>0.125</v>
      </c>
      <c r="N239" s="47">
        <v>0</v>
      </c>
      <c r="O239" s="45">
        <v>0</v>
      </c>
      <c r="P239" s="96">
        <v>300</v>
      </c>
    </row>
    <row r="240" spans="2:16" x14ac:dyDescent="0.3">
      <c r="B240" s="92" t="s">
        <v>364</v>
      </c>
      <c r="C240" s="93" t="s">
        <v>168</v>
      </c>
      <c r="D240" s="94" t="s">
        <v>356</v>
      </c>
      <c r="E240" s="95" t="s">
        <v>3</v>
      </c>
      <c r="F240" s="95">
        <v>1</v>
      </c>
      <c r="G240" s="45">
        <v>4</v>
      </c>
      <c r="H240" s="45">
        <v>2</v>
      </c>
      <c r="I240" s="45">
        <v>0</v>
      </c>
      <c r="J240" s="45">
        <v>0</v>
      </c>
      <c r="K240" s="45">
        <v>4</v>
      </c>
      <c r="L240" s="46">
        <v>2</v>
      </c>
      <c r="M240" s="47">
        <v>0</v>
      </c>
      <c r="N240" s="47">
        <v>0</v>
      </c>
      <c r="O240" s="45">
        <v>0</v>
      </c>
      <c r="P240" s="96">
        <v>160</v>
      </c>
    </row>
    <row r="241" spans="2:16" x14ac:dyDescent="0.3">
      <c r="B241" s="92" t="s">
        <v>272</v>
      </c>
      <c r="C241" s="93" t="s">
        <v>36</v>
      </c>
      <c r="D241" s="94" t="s">
        <v>367</v>
      </c>
      <c r="E241" s="95" t="s">
        <v>3</v>
      </c>
      <c r="F241" s="95">
        <v>1</v>
      </c>
      <c r="G241" s="45">
        <v>4</v>
      </c>
      <c r="H241" s="45">
        <v>2</v>
      </c>
      <c r="I241" s="45">
        <v>0</v>
      </c>
      <c r="J241" s="45">
        <v>0</v>
      </c>
      <c r="K241" s="45">
        <v>4</v>
      </c>
      <c r="L241" s="46">
        <v>2</v>
      </c>
      <c r="M241" s="47">
        <v>0</v>
      </c>
      <c r="N241" s="47">
        <v>0</v>
      </c>
      <c r="O241" s="45">
        <v>0</v>
      </c>
      <c r="P241" s="96">
        <v>160</v>
      </c>
    </row>
    <row r="242" spans="2:16" x14ac:dyDescent="0.3">
      <c r="B242" s="92" t="s">
        <v>214</v>
      </c>
      <c r="C242" s="93" t="s">
        <v>36</v>
      </c>
      <c r="D242" s="94" t="s">
        <v>467</v>
      </c>
      <c r="E242" s="95" t="s">
        <v>3</v>
      </c>
      <c r="F242" s="95">
        <v>1</v>
      </c>
      <c r="G242" s="45">
        <v>4</v>
      </c>
      <c r="H242" s="45">
        <v>2</v>
      </c>
      <c r="I242" s="45">
        <v>0</v>
      </c>
      <c r="J242" s="45">
        <v>0</v>
      </c>
      <c r="K242" s="45">
        <v>4</v>
      </c>
      <c r="L242" s="46">
        <v>2</v>
      </c>
      <c r="M242" s="47">
        <v>0</v>
      </c>
      <c r="N242" s="47">
        <v>0</v>
      </c>
      <c r="O242" s="45">
        <v>0</v>
      </c>
      <c r="P242" s="96">
        <v>160</v>
      </c>
    </row>
    <row r="243" spans="2:16" x14ac:dyDescent="0.3">
      <c r="B243" s="92" t="s">
        <v>5</v>
      </c>
      <c r="C243" s="93" t="s">
        <v>6</v>
      </c>
      <c r="D243" s="94" t="s">
        <v>352</v>
      </c>
      <c r="E243" s="95" t="s">
        <v>3</v>
      </c>
      <c r="F243" s="95">
        <v>1</v>
      </c>
      <c r="G243" s="45">
        <v>4</v>
      </c>
      <c r="H243" s="45">
        <v>2</v>
      </c>
      <c r="I243" s="45">
        <v>3</v>
      </c>
      <c r="J243" s="45">
        <v>0</v>
      </c>
      <c r="K243" s="45">
        <v>1</v>
      </c>
      <c r="L243" s="46">
        <v>2</v>
      </c>
      <c r="M243" s="47">
        <v>0.75</v>
      </c>
      <c r="N243" s="47">
        <v>0</v>
      </c>
      <c r="O243" s="45">
        <v>0</v>
      </c>
      <c r="P243" s="96">
        <v>100</v>
      </c>
    </row>
    <row r="244" spans="2:16" x14ac:dyDescent="0.3">
      <c r="B244" s="99" t="s">
        <v>408</v>
      </c>
      <c r="C244" s="93" t="s">
        <v>6</v>
      </c>
      <c r="D244" s="94" t="s">
        <v>472</v>
      </c>
      <c r="E244" s="95" t="s">
        <v>10</v>
      </c>
      <c r="F244" s="95">
        <v>1</v>
      </c>
      <c r="G244" s="45">
        <v>8</v>
      </c>
      <c r="H244" s="45">
        <v>8</v>
      </c>
      <c r="I244" s="45">
        <v>0</v>
      </c>
      <c r="J244" s="45">
        <v>0</v>
      </c>
      <c r="K244" s="45">
        <v>8</v>
      </c>
      <c r="L244" s="46">
        <v>8</v>
      </c>
      <c r="M244" s="47">
        <v>0</v>
      </c>
      <c r="N244" s="47">
        <v>0</v>
      </c>
      <c r="O244" s="45">
        <v>0</v>
      </c>
      <c r="P244" s="96">
        <v>480</v>
      </c>
    </row>
    <row r="245" spans="2:16" x14ac:dyDescent="0.3">
      <c r="B245" s="92" t="s">
        <v>8</v>
      </c>
      <c r="C245" s="93" t="s">
        <v>9</v>
      </c>
      <c r="D245" s="94" t="s">
        <v>372</v>
      </c>
      <c r="E245" s="95" t="s">
        <v>10</v>
      </c>
      <c r="F245" s="95">
        <v>2</v>
      </c>
      <c r="G245" s="45">
        <v>16</v>
      </c>
      <c r="H245" s="45">
        <v>16</v>
      </c>
      <c r="I245" s="45">
        <v>23</v>
      </c>
      <c r="J245" s="45">
        <v>11</v>
      </c>
      <c r="K245" s="45">
        <v>-7</v>
      </c>
      <c r="L245" s="46">
        <v>5</v>
      </c>
      <c r="M245" s="47">
        <v>1.4375</v>
      </c>
      <c r="N245" s="47">
        <v>0.6875</v>
      </c>
      <c r="O245" s="45">
        <v>728</v>
      </c>
      <c r="P245" s="96">
        <v>60</v>
      </c>
    </row>
    <row r="246" spans="2:16" x14ac:dyDescent="0.3">
      <c r="B246" s="99" t="s">
        <v>107</v>
      </c>
      <c r="C246" s="93" t="s">
        <v>9</v>
      </c>
      <c r="D246" s="94" t="s">
        <v>369</v>
      </c>
      <c r="E246" s="95" t="s">
        <v>10</v>
      </c>
      <c r="F246" s="95">
        <v>2</v>
      </c>
      <c r="G246" s="45">
        <v>16</v>
      </c>
      <c r="H246" s="45">
        <v>16</v>
      </c>
      <c r="I246" s="45">
        <v>3</v>
      </c>
      <c r="J246" s="45">
        <v>0</v>
      </c>
      <c r="K246" s="45">
        <v>13</v>
      </c>
      <c r="L246" s="46">
        <v>16</v>
      </c>
      <c r="M246" s="47">
        <v>0.1875</v>
      </c>
      <c r="N246" s="47">
        <v>0</v>
      </c>
      <c r="O246" s="45">
        <v>0</v>
      </c>
      <c r="P246" s="96">
        <v>900</v>
      </c>
    </row>
    <row r="247" spans="2:16" x14ac:dyDescent="0.3">
      <c r="B247" s="92" t="s">
        <v>250</v>
      </c>
      <c r="C247" s="93" t="s">
        <v>6</v>
      </c>
      <c r="D247" s="94" t="s">
        <v>349</v>
      </c>
      <c r="E247" s="95" t="s">
        <v>3</v>
      </c>
      <c r="F247" s="95">
        <v>1</v>
      </c>
      <c r="G247" s="45">
        <v>4</v>
      </c>
      <c r="H247" s="45">
        <v>2</v>
      </c>
      <c r="I247" s="45">
        <v>2</v>
      </c>
      <c r="J247" s="45">
        <v>2</v>
      </c>
      <c r="K247" s="45">
        <v>2</v>
      </c>
      <c r="L247" s="46">
        <v>0</v>
      </c>
      <c r="M247" s="47">
        <v>0.5</v>
      </c>
      <c r="N247" s="47">
        <v>1</v>
      </c>
      <c r="O247" s="45">
        <v>80</v>
      </c>
      <c r="P247" s="96">
        <v>40</v>
      </c>
    </row>
    <row r="248" spans="2:16" x14ac:dyDescent="0.3">
      <c r="B248" s="92" t="s">
        <v>416</v>
      </c>
      <c r="C248" s="93" t="s">
        <v>13</v>
      </c>
      <c r="D248" s="94" t="s">
        <v>485</v>
      </c>
      <c r="E248" s="95" t="s">
        <v>17</v>
      </c>
      <c r="F248" s="95">
        <v>1</v>
      </c>
      <c r="G248" s="45">
        <v>6</v>
      </c>
      <c r="H248" s="45">
        <v>6</v>
      </c>
      <c r="I248" s="45">
        <v>0</v>
      </c>
      <c r="J248" s="45">
        <v>0</v>
      </c>
      <c r="K248" s="45">
        <v>6</v>
      </c>
      <c r="L248" s="46">
        <v>6</v>
      </c>
      <c r="M248" s="47">
        <v>0</v>
      </c>
      <c r="N248" s="47">
        <v>0</v>
      </c>
      <c r="O248" s="45">
        <v>0</v>
      </c>
      <c r="P248" s="96">
        <v>360</v>
      </c>
    </row>
    <row r="249" spans="2:16" x14ac:dyDescent="0.3">
      <c r="B249" s="92" t="s">
        <v>371</v>
      </c>
      <c r="C249" s="93" t="s">
        <v>131</v>
      </c>
      <c r="D249" s="94" t="s">
        <v>354</v>
      </c>
      <c r="E249" s="95" t="s">
        <v>3</v>
      </c>
      <c r="F249" s="95">
        <v>1</v>
      </c>
      <c r="G249" s="45">
        <v>4</v>
      </c>
      <c r="H249" s="45">
        <v>2</v>
      </c>
      <c r="I249" s="45">
        <v>0</v>
      </c>
      <c r="J249" s="45">
        <v>0</v>
      </c>
      <c r="K249" s="45">
        <v>4</v>
      </c>
      <c r="L249" s="46">
        <v>2</v>
      </c>
      <c r="M249" s="47">
        <v>0</v>
      </c>
      <c r="N249" s="47">
        <v>0</v>
      </c>
      <c r="O249" s="45">
        <v>0</v>
      </c>
      <c r="P249" s="96">
        <v>160</v>
      </c>
    </row>
    <row r="250" spans="2:16" x14ac:dyDescent="0.3">
      <c r="B250" s="92" t="s">
        <v>314</v>
      </c>
      <c r="C250" s="93" t="s">
        <v>168</v>
      </c>
      <c r="D250" s="94" t="s">
        <v>375</v>
      </c>
      <c r="E250" s="95" t="s">
        <v>3</v>
      </c>
      <c r="F250" s="95">
        <v>1</v>
      </c>
      <c r="G250" s="45">
        <v>4</v>
      </c>
      <c r="H250" s="45">
        <v>2</v>
      </c>
      <c r="I250" s="45">
        <v>0</v>
      </c>
      <c r="J250" s="45">
        <v>0</v>
      </c>
      <c r="K250" s="45">
        <v>4</v>
      </c>
      <c r="L250" s="46">
        <v>2</v>
      </c>
      <c r="M250" s="47">
        <v>0</v>
      </c>
      <c r="N250" s="47">
        <v>0</v>
      </c>
      <c r="O250" s="45">
        <v>0</v>
      </c>
      <c r="P250" s="96">
        <v>160</v>
      </c>
    </row>
    <row r="251" spans="2:16" x14ac:dyDescent="0.3">
      <c r="B251" s="103" t="s">
        <v>389</v>
      </c>
      <c r="C251" s="93" t="s">
        <v>131</v>
      </c>
      <c r="D251" s="94" t="s">
        <v>469</v>
      </c>
      <c r="E251" s="95" t="s">
        <v>3</v>
      </c>
      <c r="F251" s="95">
        <v>1</v>
      </c>
      <c r="G251" s="45">
        <v>4</v>
      </c>
      <c r="H251" s="45">
        <v>2</v>
      </c>
      <c r="I251" s="45">
        <v>0</v>
      </c>
      <c r="J251" s="45">
        <v>0</v>
      </c>
      <c r="K251" s="45">
        <v>4</v>
      </c>
      <c r="L251" s="46">
        <v>2</v>
      </c>
      <c r="M251" s="47">
        <v>0</v>
      </c>
      <c r="N251" s="47">
        <v>0</v>
      </c>
      <c r="O251" s="45">
        <v>0</v>
      </c>
      <c r="P251" s="96">
        <v>160</v>
      </c>
    </row>
    <row r="252" spans="2:16" x14ac:dyDescent="0.3">
      <c r="B252" s="92" t="s">
        <v>224</v>
      </c>
      <c r="C252" s="93" t="s">
        <v>131</v>
      </c>
      <c r="D252" s="94" t="s">
        <v>377</v>
      </c>
      <c r="E252" s="95" t="s">
        <v>3</v>
      </c>
      <c r="F252" s="95">
        <v>1</v>
      </c>
      <c r="G252" s="45">
        <v>4</v>
      </c>
      <c r="H252" s="45">
        <v>2</v>
      </c>
      <c r="I252" s="45">
        <v>0</v>
      </c>
      <c r="J252" s="45">
        <v>0</v>
      </c>
      <c r="K252" s="45">
        <v>4</v>
      </c>
      <c r="L252" s="46">
        <v>2</v>
      </c>
      <c r="M252" s="47">
        <v>0</v>
      </c>
      <c r="N252" s="47">
        <v>0</v>
      </c>
      <c r="O252" s="45">
        <v>0</v>
      </c>
      <c r="P252" s="96">
        <v>160</v>
      </c>
    </row>
    <row r="253" spans="2:16" x14ac:dyDescent="0.3">
      <c r="B253" s="92" t="s">
        <v>290</v>
      </c>
      <c r="C253" s="93" t="s">
        <v>131</v>
      </c>
      <c r="D253" s="94" t="s">
        <v>379</v>
      </c>
      <c r="E253" s="95" t="s">
        <v>3</v>
      </c>
      <c r="F253" s="95">
        <v>1</v>
      </c>
      <c r="G253" s="45">
        <v>4</v>
      </c>
      <c r="H253" s="45">
        <v>2</v>
      </c>
      <c r="I253" s="45">
        <v>0</v>
      </c>
      <c r="J253" s="45">
        <v>0</v>
      </c>
      <c r="K253" s="45">
        <v>4</v>
      </c>
      <c r="L253" s="46">
        <v>2</v>
      </c>
      <c r="M253" s="47">
        <v>0</v>
      </c>
      <c r="N253" s="47">
        <v>0</v>
      </c>
      <c r="O253" s="45">
        <v>0</v>
      </c>
      <c r="P253" s="96">
        <v>160</v>
      </c>
    </row>
    <row r="254" spans="2:16" x14ac:dyDescent="0.3">
      <c r="B254" s="92" t="s">
        <v>411</v>
      </c>
      <c r="C254" s="93" t="s">
        <v>13</v>
      </c>
      <c r="D254" s="94" t="s">
        <v>475</v>
      </c>
      <c r="E254" s="95" t="s">
        <v>3</v>
      </c>
      <c r="F254" s="95">
        <v>1</v>
      </c>
      <c r="G254" s="45">
        <v>4</v>
      </c>
      <c r="H254" s="45">
        <v>2</v>
      </c>
      <c r="I254" s="45">
        <v>0</v>
      </c>
      <c r="J254" s="45">
        <v>0</v>
      </c>
      <c r="K254" s="45">
        <v>4</v>
      </c>
      <c r="L254" s="46">
        <v>2</v>
      </c>
      <c r="M254" s="47">
        <v>0</v>
      </c>
      <c r="N254" s="47">
        <v>0</v>
      </c>
      <c r="O254" s="45">
        <v>0</v>
      </c>
      <c r="P254" s="96">
        <v>160</v>
      </c>
    </row>
    <row r="255" spans="2:16" x14ac:dyDescent="0.3">
      <c r="B255" s="92" t="s">
        <v>274</v>
      </c>
      <c r="C255" s="93" t="s">
        <v>13</v>
      </c>
      <c r="D255" s="94" t="s">
        <v>470</v>
      </c>
      <c r="E255" s="95" t="s">
        <v>3</v>
      </c>
      <c r="F255" s="95">
        <v>1</v>
      </c>
      <c r="G255" s="45">
        <v>4</v>
      </c>
      <c r="H255" s="45">
        <v>2</v>
      </c>
      <c r="I255" s="45">
        <v>0</v>
      </c>
      <c r="J255" s="45">
        <v>0</v>
      </c>
      <c r="K255" s="45">
        <v>4</v>
      </c>
      <c r="L255" s="46">
        <v>2</v>
      </c>
      <c r="M255" s="47">
        <v>0</v>
      </c>
      <c r="N255" s="47">
        <v>0</v>
      </c>
      <c r="O255" s="45">
        <v>0</v>
      </c>
      <c r="P255" s="96">
        <v>160</v>
      </c>
    </row>
  </sheetData>
  <autoFilter ref="A3:P240" xr:uid="{B79298CA-07B8-469C-8272-21CF31E320C4}"/>
  <mergeCells count="6">
    <mergeCell ref="P2:P3"/>
    <mergeCell ref="M2:N2"/>
    <mergeCell ref="G2:H2"/>
    <mergeCell ref="I2:J2"/>
    <mergeCell ref="K2:L2"/>
    <mergeCell ref="O2:O3"/>
  </mergeCells>
  <phoneticPr fontId="3" type="noConversion"/>
  <conditionalFormatting sqref="B1:B2 B256:B1048576">
    <cfRule type="duplicateValues" dxfId="3" priority="6"/>
  </conditionalFormatting>
  <conditionalFormatting sqref="B4:B255">
    <cfRule type="duplicateValues" dxfId="2" priority="1"/>
  </conditionalFormatting>
  <conditionalFormatting sqref="C4:C6">
    <cfRule type="duplicateValues" dxfId="1" priority="2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계약이행율</vt:lpstr>
      <vt:lpstr>OIC</vt:lpstr>
      <vt:lpstr>계약이행율!Print_Area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koeun choi</dc:creator>
  <cp:lastModifiedBy>koeun choi</cp:lastModifiedBy>
  <dcterms:created xsi:type="dcterms:W3CDTF">2026-05-07T03:23:55Z</dcterms:created>
  <dcterms:modified xsi:type="dcterms:W3CDTF">2026-07-07T07:40:39Z</dcterms:modified>
</cp:coreProperties>
</file>