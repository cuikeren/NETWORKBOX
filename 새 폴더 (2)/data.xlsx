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stem\Desktop\"/>
    </mc:Choice>
  </mc:AlternateContent>
  <xr:revisionPtr revIDLastSave="0" documentId="8_{CA4E60A5-1AEE-4E94-93C2-25211567F605}" xr6:coauthVersionLast="47" xr6:coauthVersionMax="47" xr10:uidLastSave="{00000000-0000-0000-0000-000000000000}"/>
  <bookViews>
    <workbookView xWindow="-110" yWindow="-110" windowWidth="22620" windowHeight="13500" activeTab="1" xr2:uid="{DEA99F99-225F-4E99-9DC6-C46F1B2255DE}"/>
  </bookViews>
  <sheets>
    <sheet name="계약이행율" sheetId="1" r:id="rId1"/>
    <sheet name="OIC" sheetId="3" r:id="rId2"/>
  </sheets>
  <definedNames>
    <definedName name="_xlnm._FilterDatabase" localSheetId="1" hidden="1">OIC!$A$4:$P$245</definedName>
    <definedName name="_xlnm._FilterDatabase" localSheetId="0" hidden="1">계약이행율!$A$3:$O$238</definedName>
    <definedName name="_xlnm.Print_Area" localSheetId="0">계약이행율!$B$2:$O$238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" i="1" l="1"/>
  <c r="N5" i="1"/>
  <c r="O172" i="1"/>
  <c r="N172" i="1"/>
  <c r="O27" i="1"/>
  <c r="N27" i="1"/>
  <c r="O31" i="1"/>
  <c r="N31" i="1"/>
  <c r="O74" i="1"/>
  <c r="N74" i="1"/>
  <c r="O40" i="1"/>
  <c r="N40" i="1"/>
  <c r="O229" i="1"/>
  <c r="N229" i="1"/>
  <c r="O126" i="1"/>
  <c r="N126" i="1"/>
  <c r="O194" i="1"/>
  <c r="N194" i="1"/>
  <c r="O112" i="1"/>
  <c r="N112" i="1"/>
  <c r="O58" i="1"/>
  <c r="N58" i="1"/>
  <c r="O237" i="1"/>
  <c r="N237" i="1"/>
  <c r="O33" i="1"/>
  <c r="N33" i="1"/>
  <c r="O225" i="1"/>
  <c r="N225" i="1"/>
  <c r="O70" i="1"/>
  <c r="N70" i="1"/>
  <c r="O53" i="1"/>
  <c r="N53" i="1"/>
  <c r="O21" i="1"/>
  <c r="N21" i="1"/>
  <c r="O150" i="1"/>
  <c r="N150" i="1"/>
  <c r="O196" i="1"/>
  <c r="N196" i="1"/>
  <c r="O36" i="1"/>
  <c r="N36" i="1"/>
  <c r="O109" i="1"/>
  <c r="N109" i="1"/>
  <c r="O132" i="1"/>
  <c r="N132" i="1"/>
  <c r="O41" i="1"/>
  <c r="N41" i="1"/>
  <c r="O76" i="1"/>
  <c r="N76" i="1"/>
  <c r="O209" i="1"/>
  <c r="N209" i="1"/>
  <c r="O80" i="1"/>
  <c r="N80" i="1"/>
  <c r="O9" i="1"/>
  <c r="N9" i="1"/>
  <c r="O170" i="1"/>
  <c r="N170" i="1"/>
  <c r="O72" i="1"/>
  <c r="N72" i="1"/>
  <c r="O140" i="1"/>
  <c r="N140" i="1"/>
  <c r="O129" i="1"/>
  <c r="N129" i="1"/>
  <c r="O232" i="1"/>
  <c r="N232" i="1"/>
  <c r="O6" i="1"/>
  <c r="N6" i="1"/>
  <c r="O137" i="1"/>
  <c r="N137" i="1"/>
  <c r="O192" i="1"/>
  <c r="N192" i="1"/>
  <c r="O204" i="1"/>
  <c r="N204" i="1"/>
  <c r="O164" i="1"/>
  <c r="N164" i="1"/>
  <c r="O82" i="1"/>
  <c r="N82" i="1"/>
  <c r="O217" i="1"/>
  <c r="N217" i="1"/>
  <c r="O118" i="1"/>
  <c r="N118" i="1"/>
  <c r="O143" i="1"/>
  <c r="N143" i="1"/>
  <c r="O77" i="1"/>
  <c r="N77" i="1"/>
  <c r="O52" i="1"/>
  <c r="N52" i="1"/>
  <c r="O200" i="1"/>
  <c r="N200" i="1"/>
  <c r="O230" i="1"/>
  <c r="N230" i="1"/>
  <c r="O34" i="1"/>
  <c r="N34" i="1"/>
  <c r="O203" i="1"/>
  <c r="N203" i="1"/>
  <c r="O79" i="1"/>
  <c r="N79" i="1"/>
  <c r="O221" i="1"/>
  <c r="N221" i="1"/>
  <c r="O69" i="1"/>
  <c r="N69" i="1"/>
  <c r="O159" i="1"/>
  <c r="N159" i="1"/>
  <c r="O92" i="1"/>
  <c r="N92" i="1"/>
  <c r="O90" i="1"/>
  <c r="N90" i="1"/>
  <c r="O87" i="1"/>
  <c r="N87" i="1"/>
  <c r="O211" i="1"/>
  <c r="N211" i="1"/>
  <c r="O24" i="1"/>
  <c r="N24" i="1"/>
  <c r="O115" i="1"/>
  <c r="N115" i="1"/>
  <c r="O124" i="1"/>
  <c r="N124" i="1"/>
  <c r="O213" i="1"/>
  <c r="N213" i="1"/>
  <c r="O220" i="1"/>
  <c r="N220" i="1"/>
  <c r="O62" i="1"/>
  <c r="N62" i="1"/>
  <c r="O174" i="1"/>
  <c r="N174" i="1"/>
  <c r="O25" i="1"/>
  <c r="N25" i="1"/>
  <c r="O11" i="1"/>
  <c r="N11" i="1"/>
  <c r="O127" i="1"/>
  <c r="N127" i="1"/>
  <c r="O86" i="1"/>
  <c r="N86" i="1"/>
  <c r="O187" i="1"/>
  <c r="N187" i="1"/>
  <c r="O88" i="1"/>
  <c r="N88" i="1"/>
  <c r="O81" i="1"/>
  <c r="N81" i="1"/>
  <c r="O94" i="1"/>
  <c r="N94" i="1"/>
  <c r="O205" i="1"/>
  <c r="N205" i="1"/>
  <c r="O160" i="1"/>
  <c r="N160" i="1"/>
  <c r="O158" i="1"/>
  <c r="N158" i="1"/>
  <c r="O156" i="1"/>
  <c r="N156" i="1"/>
  <c r="O151" i="1"/>
  <c r="N151" i="1"/>
  <c r="O231" i="1"/>
  <c r="N231" i="1"/>
  <c r="O144" i="1"/>
  <c r="N144" i="1"/>
  <c r="O138" i="1"/>
  <c r="N138" i="1"/>
  <c r="O195" i="1"/>
  <c r="N195" i="1"/>
  <c r="O149" i="1"/>
  <c r="N149" i="1"/>
  <c r="O93" i="1"/>
  <c r="N93" i="1"/>
  <c r="O67" i="1"/>
  <c r="N67" i="1"/>
  <c r="O212" i="1"/>
  <c r="N212" i="1"/>
  <c r="O20" i="1"/>
  <c r="N20" i="1"/>
  <c r="O28" i="1"/>
  <c r="O233" i="1"/>
  <c r="N233" i="1"/>
  <c r="O202" i="1"/>
  <c r="N202" i="1"/>
  <c r="O210" i="1"/>
  <c r="N210" i="1"/>
  <c r="O235" i="1"/>
  <c r="N235" i="1"/>
  <c r="O185" i="1"/>
  <c r="N185" i="1"/>
  <c r="O42" i="1"/>
  <c r="N42" i="1"/>
  <c r="O199" i="1"/>
  <c r="N199" i="1"/>
  <c r="O19" i="1"/>
  <c r="N19" i="1"/>
  <c r="O97" i="1"/>
  <c r="N97" i="1"/>
  <c r="O44" i="1"/>
  <c r="N44" i="1"/>
  <c r="O201" i="1"/>
  <c r="N201" i="1"/>
  <c r="O238" i="1"/>
  <c r="N238" i="1"/>
  <c r="O222" i="1"/>
  <c r="N222" i="1"/>
  <c r="O75" i="1"/>
  <c r="N75" i="1"/>
  <c r="O46" i="1"/>
  <c r="N46" i="1"/>
  <c r="O60" i="1"/>
  <c r="N60" i="1"/>
  <c r="O214" i="1"/>
  <c r="N214" i="1"/>
  <c r="O216" i="1"/>
  <c r="N216" i="1"/>
  <c r="O89" i="1"/>
  <c r="N89" i="1"/>
  <c r="O111" i="1"/>
  <c r="N111" i="1"/>
  <c r="O133" i="1"/>
  <c r="N133" i="1"/>
  <c r="O161" i="1"/>
  <c r="N161" i="1"/>
  <c r="O114" i="1"/>
  <c r="N114" i="1"/>
  <c r="O190" i="1"/>
  <c r="N190" i="1"/>
  <c r="O228" i="1"/>
  <c r="N228" i="1"/>
  <c r="O39" i="1"/>
  <c r="N39" i="1"/>
  <c r="O163" i="1"/>
  <c r="N163" i="1"/>
  <c r="O4" i="1"/>
  <c r="N4" i="1"/>
  <c r="O193" i="1"/>
  <c r="N193" i="1"/>
  <c r="O168" i="1"/>
  <c r="N168" i="1"/>
  <c r="O103" i="1"/>
  <c r="N103" i="1"/>
  <c r="O15" i="1"/>
  <c r="N15" i="1"/>
  <c r="O35" i="1"/>
  <c r="N35" i="1"/>
  <c r="O63" i="1"/>
  <c r="N63" i="1"/>
  <c r="O177" i="1"/>
  <c r="N177" i="1"/>
  <c r="O180" i="1"/>
  <c r="N180" i="1"/>
  <c r="O166" i="1"/>
  <c r="N166" i="1"/>
  <c r="O234" i="1"/>
  <c r="N234" i="1"/>
  <c r="O236" i="1"/>
  <c r="N236" i="1"/>
  <c r="O17" i="1"/>
  <c r="N17" i="1"/>
  <c r="O148" i="1"/>
  <c r="N148" i="1"/>
  <c r="O10" i="1"/>
  <c r="N10" i="1"/>
  <c r="O176" i="1"/>
  <c r="N176" i="1"/>
  <c r="O223" i="1"/>
  <c r="N223" i="1"/>
  <c r="O47" i="1"/>
  <c r="N47" i="1"/>
  <c r="O188" i="1"/>
  <c r="N188" i="1"/>
  <c r="O147" i="1"/>
  <c r="N147" i="1"/>
  <c r="O189" i="1"/>
  <c r="N189" i="1"/>
  <c r="O169" i="1"/>
  <c r="N169" i="1"/>
  <c r="O105" i="1"/>
  <c r="N105" i="1"/>
  <c r="O131" i="1"/>
  <c r="N131" i="1"/>
  <c r="O125" i="1"/>
  <c r="N125" i="1"/>
  <c r="O173" i="1"/>
  <c r="N173" i="1"/>
  <c r="O139" i="1"/>
  <c r="N139" i="1"/>
  <c r="O218" i="1"/>
  <c r="N218" i="1"/>
  <c r="O12" i="1"/>
  <c r="N12" i="1"/>
  <c r="O135" i="1"/>
  <c r="N135" i="1"/>
  <c r="O146" i="1"/>
  <c r="N146" i="1"/>
  <c r="O102" i="1"/>
  <c r="N102" i="1"/>
  <c r="O128" i="1"/>
  <c r="N128" i="1"/>
  <c r="O43" i="1"/>
  <c r="N43" i="1"/>
  <c r="O85" i="1"/>
  <c r="N85" i="1"/>
  <c r="O14" i="1"/>
  <c r="N14" i="1"/>
  <c r="O48" i="1"/>
  <c r="N48" i="1"/>
  <c r="O68" i="1"/>
  <c r="N68" i="1"/>
  <c r="O83" i="1"/>
  <c r="N83" i="1"/>
  <c r="O141" i="1"/>
  <c r="N141" i="1"/>
  <c r="O171" i="1"/>
  <c r="N171" i="1"/>
  <c r="O219" i="1"/>
  <c r="N219" i="1"/>
  <c r="O152" i="1"/>
  <c r="N152" i="1"/>
  <c r="O153" i="1"/>
  <c r="N153" i="1"/>
  <c r="O186" i="1"/>
  <c r="N186" i="1"/>
  <c r="O101" i="1"/>
  <c r="N101" i="1"/>
  <c r="O120" i="1"/>
  <c r="N120" i="1"/>
  <c r="O49" i="1"/>
  <c r="N49" i="1"/>
  <c r="O22" i="1"/>
  <c r="N22" i="1"/>
  <c r="O207" i="1"/>
  <c r="N207" i="1"/>
  <c r="O50" i="1"/>
  <c r="N50" i="1"/>
  <c r="O13" i="1"/>
  <c r="N13" i="1"/>
  <c r="O73" i="1"/>
  <c r="N73" i="1"/>
  <c r="O206" i="1"/>
  <c r="N206" i="1"/>
  <c r="O18" i="1"/>
  <c r="N18" i="1"/>
  <c r="O134" i="1"/>
  <c r="N134" i="1"/>
  <c r="O64" i="1"/>
  <c r="N64" i="1"/>
  <c r="O175" i="1"/>
  <c r="N175" i="1"/>
  <c r="O106" i="1"/>
  <c r="N106" i="1"/>
  <c r="O130" i="1"/>
  <c r="N130" i="1"/>
  <c r="O162" i="1"/>
  <c r="N162" i="1"/>
  <c r="O7" i="1"/>
  <c r="N7" i="1"/>
  <c r="O96" i="1"/>
  <c r="N96" i="1"/>
  <c r="O54" i="1"/>
  <c r="N54" i="1"/>
  <c r="O71" i="1"/>
  <c r="N71" i="1"/>
  <c r="O215" i="1"/>
  <c r="N215" i="1"/>
  <c r="O181" i="1"/>
  <c r="N181" i="1"/>
  <c r="O122" i="1"/>
  <c r="N122" i="1"/>
  <c r="O179" i="1"/>
  <c r="N179" i="1"/>
  <c r="O23" i="1"/>
  <c r="N23" i="1"/>
  <c r="O116" i="1"/>
  <c r="N116" i="1"/>
  <c r="O227" i="1"/>
  <c r="N227" i="1"/>
  <c r="O56" i="1"/>
  <c r="N56" i="1"/>
  <c r="O78" i="1"/>
  <c r="N78" i="1"/>
  <c r="O45" i="1"/>
  <c r="N45" i="1"/>
  <c r="O121" i="1"/>
  <c r="N121" i="1"/>
  <c r="O191" i="1"/>
  <c r="N191" i="1"/>
  <c r="O157" i="1"/>
  <c r="N157" i="1"/>
  <c r="O178" i="1"/>
  <c r="N178" i="1"/>
  <c r="O107" i="1"/>
  <c r="N107" i="1"/>
  <c r="O37" i="1"/>
  <c r="N37" i="1"/>
  <c r="O38" i="1"/>
  <c r="N38" i="1"/>
  <c r="O84" i="1"/>
  <c r="N84" i="1"/>
  <c r="O182" i="1"/>
  <c r="N182" i="1"/>
  <c r="O95" i="1"/>
  <c r="N95" i="1"/>
  <c r="O59" i="1"/>
  <c r="N59" i="1"/>
  <c r="O208" i="1"/>
  <c r="N208" i="1"/>
  <c r="O61" i="1"/>
  <c r="N61" i="1"/>
  <c r="O113" i="1"/>
  <c r="N113" i="1"/>
  <c r="O184" i="1"/>
  <c r="N184" i="1"/>
  <c r="O29" i="1"/>
  <c r="N29" i="1"/>
  <c r="O99" i="1"/>
  <c r="N99" i="1"/>
  <c r="O183" i="1"/>
  <c r="N183" i="1"/>
  <c r="O16" i="1"/>
  <c r="N16" i="1"/>
  <c r="O165" i="1"/>
  <c r="N165" i="1"/>
  <c r="O32" i="1"/>
  <c r="N32" i="1"/>
  <c r="O123" i="1"/>
  <c r="N123" i="1"/>
  <c r="O145" i="1"/>
  <c r="N145" i="1"/>
  <c r="O142" i="1"/>
  <c r="N142" i="1"/>
  <c r="O108" i="1"/>
  <c r="N108" i="1"/>
  <c r="O51" i="1"/>
  <c r="N51" i="1"/>
  <c r="O91" i="1"/>
  <c r="N91" i="1"/>
  <c r="O30" i="1"/>
  <c r="N30" i="1"/>
  <c r="O100" i="1"/>
  <c r="N100" i="1"/>
  <c r="O110" i="1"/>
  <c r="N110" i="1"/>
  <c r="O117" i="1"/>
  <c r="N117" i="1"/>
  <c r="O155" i="1"/>
  <c r="N155" i="1"/>
  <c r="O66" i="1"/>
  <c r="N66" i="1"/>
  <c r="O55" i="1"/>
  <c r="N55" i="1"/>
  <c r="O8" i="1"/>
  <c r="N8" i="1"/>
  <c r="O26" i="1"/>
  <c r="N26" i="1"/>
  <c r="O136" i="1"/>
  <c r="N136" i="1"/>
  <c r="O154" i="1"/>
  <c r="N154" i="1"/>
  <c r="O197" i="1"/>
  <c r="N197" i="1"/>
  <c r="O119" i="1"/>
  <c r="N119" i="1"/>
  <c r="O104" i="1"/>
  <c r="N104" i="1"/>
  <c r="O198" i="1"/>
  <c r="N198" i="1"/>
  <c r="O65" i="1"/>
  <c r="N65" i="1"/>
  <c r="O98" i="1"/>
  <c r="N98" i="1"/>
  <c r="O57" i="1"/>
  <c r="N57" i="1"/>
  <c r="O226" i="1"/>
  <c r="N226" i="1"/>
  <c r="O224" i="1"/>
  <c r="N224" i="1"/>
  <c r="O167" i="1"/>
  <c r="N16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osstem</author>
  </authors>
  <commentList>
    <comment ref="J86" authorId="0" shapeId="0" xr:uid="{987A1C76-0DF1-4B48-AF4B-E9EB3CBB4F04}">
      <text>
        <r>
          <rPr>
            <b/>
            <sz val="9"/>
            <color indexed="81"/>
            <rFont val="Tahoma"/>
            <family val="2"/>
          </rPr>
          <t>osstem: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通用审批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BatangChe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-4
</t>
        </r>
        <r>
          <rPr>
            <sz val="9"/>
            <color indexed="81"/>
            <rFont val="宋体"/>
            <family val="3"/>
            <charset val="134"/>
          </rPr>
          <t>科康</t>
        </r>
      </text>
    </comment>
    <comment ref="J184" authorId="0" shapeId="0" xr:uid="{207C01F8-580E-456B-8978-92EB31C9637C}">
      <text>
        <r>
          <rPr>
            <b/>
            <sz val="9"/>
            <color indexed="81"/>
            <rFont val="Tahoma"/>
            <family val="2"/>
          </rPr>
          <t>osstem: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通用审批
</t>
        </r>
        <r>
          <rPr>
            <sz val="9"/>
            <color indexed="81"/>
            <rFont val="BatangChe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-4
</t>
        </r>
        <r>
          <rPr>
            <sz val="9"/>
            <color indexed="81"/>
            <rFont val="宋体"/>
            <family val="3"/>
            <charset val="134"/>
          </rPr>
          <t>希伯来</t>
        </r>
      </text>
    </comment>
    <comment ref="B212" authorId="0" shapeId="0" xr:uid="{A381B0EE-8761-4789-A6E2-63338442D3B4}">
      <text>
        <r>
          <rPr>
            <b/>
            <sz val="9"/>
            <color indexed="81"/>
            <rFont val="Tahoma"/>
            <family val="2"/>
          </rPr>
          <t>osstem: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BatangChe"/>
            <family val="3"/>
            <charset val="129"/>
          </rPr>
          <t>부장님이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BatangChe"/>
            <family val="3"/>
            <charset val="129"/>
          </rPr>
          <t>해외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BatangChe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BatangChe"/>
            <family val="3"/>
            <charset val="129"/>
          </rPr>
          <t>국내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BatangChe"/>
            <family val="3"/>
            <charset val="129"/>
          </rPr>
          <t>개로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BatangChe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BatangChe"/>
            <family val="3"/>
            <charset val="129"/>
          </rPr>
          <t>더주는느낌으로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BatangChe"/>
            <family val="3"/>
            <charset val="129"/>
          </rPr>
          <t>쓰게함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BatangChe"/>
            <family val="3"/>
            <charset val="129"/>
          </rPr>
          <t>그들은</t>
        </r>
        <r>
          <rPr>
            <sz val="9"/>
            <color indexed="81"/>
            <rFont val="Tahoma"/>
            <family val="2"/>
          </rPr>
          <t xml:space="preserve"> 4,4</t>
        </r>
        <r>
          <rPr>
            <sz val="9"/>
            <color indexed="81"/>
            <rFont val="BatangChe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BatangChe"/>
            <family val="3"/>
            <charset val="129"/>
          </rPr>
          <t>알고있음</t>
        </r>
        <r>
          <rPr>
            <sz val="9"/>
            <color indexed="81"/>
            <rFont val="Tahoma"/>
            <family val="2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<sst xmlns="http://schemas.openxmlformats.org/spreadsheetml/2006/main" count="1906" uniqueCount="731">
  <si>
    <t>合同基本信息</t>
    <phoneticPr fontId="3" type="noConversion"/>
  </si>
  <si>
    <r>
      <t>合同履行</t>
    </r>
    <r>
      <rPr>
        <b/>
        <sz val="11"/>
        <color theme="0"/>
        <rFont val="宋体"/>
        <family val="2"/>
        <charset val="134"/>
      </rPr>
      <t>现状</t>
    </r>
    <phoneticPr fontId="3" type="noConversion"/>
  </si>
  <si>
    <r>
      <t>履</t>
    </r>
    <r>
      <rPr>
        <b/>
        <sz val="11"/>
        <color theme="0"/>
        <rFont val="宋体"/>
        <family val="2"/>
        <charset val="134"/>
      </rPr>
      <t>约率</t>
    </r>
    <phoneticPr fontId="3" type="noConversion"/>
  </si>
  <si>
    <t>main contract</t>
    <phoneticPr fontId="3" type="noConversion"/>
  </si>
  <si>
    <r>
      <t>集</t>
    </r>
    <r>
      <rPr>
        <b/>
        <sz val="10"/>
        <color theme="0"/>
        <rFont val="宋体"/>
        <family val="2"/>
        <charset val="134"/>
      </rPr>
      <t>团名</t>
    </r>
    <phoneticPr fontId="3" type="noConversion"/>
  </si>
  <si>
    <r>
      <t>事</t>
    </r>
    <r>
      <rPr>
        <b/>
        <sz val="10"/>
        <color theme="0"/>
        <rFont val="宋体"/>
        <family val="2"/>
        <charset val="134"/>
      </rPr>
      <t>业部</t>
    </r>
    <phoneticPr fontId="3" type="noConversion"/>
  </si>
  <si>
    <t>等级</t>
    <phoneticPr fontId="3" type="noConversion"/>
  </si>
  <si>
    <r>
      <rPr>
        <b/>
        <sz val="10"/>
        <color theme="0"/>
        <rFont val="宋体"/>
        <family val="2"/>
        <charset val="134"/>
      </rPr>
      <t>签约</t>
    </r>
    <r>
      <rPr>
        <b/>
        <sz val="10"/>
        <color theme="0"/>
        <rFont val="Malgun Gothic"/>
        <family val="2"/>
        <charset val="129"/>
      </rPr>
      <t>日期</t>
    </r>
    <phoneticPr fontId="3" type="noConversion"/>
  </si>
  <si>
    <r>
      <rPr>
        <b/>
        <sz val="10"/>
        <color theme="0"/>
        <rFont val="宋体"/>
        <family val="2"/>
        <charset val="134"/>
      </rPr>
      <t>签约</t>
    </r>
    <r>
      <rPr>
        <b/>
        <sz val="10"/>
        <color theme="0"/>
        <rFont val="Malgun Gothic"/>
        <family val="2"/>
        <charset val="129"/>
      </rPr>
      <t>日期(月)</t>
    </r>
    <phoneticPr fontId="3" type="noConversion"/>
  </si>
  <si>
    <t>更新有效期</t>
    <phoneticPr fontId="3" type="noConversion"/>
  </si>
  <si>
    <t>延长次数</t>
    <phoneticPr fontId="3" type="noConversion"/>
  </si>
  <si>
    <r>
      <rPr>
        <b/>
        <sz val="10"/>
        <color theme="0"/>
        <rFont val="宋体"/>
        <family val="2"/>
        <charset val="134"/>
      </rPr>
      <t>销</t>
    </r>
    <r>
      <rPr>
        <b/>
        <sz val="10"/>
        <color theme="0"/>
        <rFont val="Malgun Gothic"/>
        <family val="2"/>
      </rPr>
      <t>售</t>
    </r>
    <r>
      <rPr>
        <b/>
        <sz val="10"/>
        <color theme="0"/>
        <rFont val="宋体"/>
        <family val="2"/>
        <charset val="134"/>
      </rPr>
      <t>额</t>
    </r>
    <r>
      <rPr>
        <b/>
        <sz val="10"/>
        <color theme="0"/>
        <rFont val="Malgun Gothic"/>
        <family val="2"/>
        <charset val="129"/>
      </rPr>
      <t xml:space="preserve">
(不含</t>
    </r>
    <r>
      <rPr>
        <b/>
        <sz val="10"/>
        <color theme="0"/>
        <rFont val="Yu Gothic"/>
        <family val="2"/>
        <charset val="128"/>
      </rPr>
      <t>税</t>
    </r>
    <r>
      <rPr>
        <b/>
        <sz val="10"/>
        <color theme="0"/>
        <rFont val="Malgun Gothic"/>
        <family val="2"/>
        <charset val="129"/>
      </rPr>
      <t>)</t>
    </r>
    <phoneticPr fontId="3" type="noConversion"/>
  </si>
  <si>
    <r>
      <t>fixture
(</t>
    </r>
    <r>
      <rPr>
        <b/>
        <sz val="10"/>
        <color theme="0"/>
        <rFont val="宋体"/>
        <family val="2"/>
        <charset val="134"/>
      </rPr>
      <t>总数</t>
    </r>
    <r>
      <rPr>
        <b/>
        <sz val="10"/>
        <color theme="0"/>
        <rFont val="Malgun Gothic"/>
        <family val="2"/>
        <charset val="129"/>
      </rPr>
      <t>)</t>
    </r>
    <phoneticPr fontId="3" type="noConversion"/>
  </si>
  <si>
    <t>fixture
(0原除外)</t>
    <phoneticPr fontId="3" type="noConversion"/>
  </si>
  <si>
    <r>
      <t>回款</t>
    </r>
    <r>
      <rPr>
        <b/>
        <sz val="10"/>
        <color theme="0"/>
        <rFont val="宋体"/>
        <family val="2"/>
        <charset val="134"/>
      </rPr>
      <t>额</t>
    </r>
    <phoneticPr fontId="3" type="noConversion"/>
  </si>
  <si>
    <r>
      <t>合同金</t>
    </r>
    <r>
      <rPr>
        <b/>
        <sz val="10"/>
        <color theme="0"/>
        <rFont val="宋体"/>
        <family val="2"/>
        <charset val="134"/>
      </rPr>
      <t>额</t>
    </r>
    <phoneticPr fontId="3" type="noConversion"/>
  </si>
  <si>
    <t>回款率</t>
    <phoneticPr fontId="3" type="noConversion"/>
  </si>
  <si>
    <r>
      <t>植体</t>
    </r>
    <r>
      <rPr>
        <b/>
        <sz val="10"/>
        <color theme="0"/>
        <rFont val="Yu Gothic"/>
        <family val="2"/>
        <charset val="128"/>
      </rPr>
      <t>数量条件</t>
    </r>
    <r>
      <rPr>
        <b/>
        <sz val="10"/>
        <color theme="0"/>
        <rFont val="Malgun Gothic"/>
        <family val="2"/>
        <charset val="129"/>
      </rPr>
      <t xml:space="preserve">
</t>
    </r>
    <r>
      <rPr>
        <b/>
        <sz val="10"/>
        <color theme="0"/>
        <rFont val="宋体"/>
        <family val="2"/>
        <charset val="134"/>
      </rPr>
      <t>达成率</t>
    </r>
    <phoneticPr fontId="3" type="noConversion"/>
  </si>
  <si>
    <t>BIJT-C-LS-HK-25A-25-0071</t>
  </si>
  <si>
    <t>苏州海珥森医疗器械有限公司1</t>
  </si>
  <si>
    <t>上海事业部</t>
  </si>
  <si>
    <t>C</t>
  </si>
  <si>
    <t>BIJT-C-LS-DK-25A-25-0001</t>
  </si>
  <si>
    <t>植之道</t>
  </si>
  <si>
    <t>深圳事业部</t>
  </si>
  <si>
    <t>TIJT-B-ZLS-HK-25-3200603-25-2</t>
  </si>
  <si>
    <t>中诺集团1</t>
  </si>
  <si>
    <t>北京事业部</t>
  </si>
  <si>
    <t>A</t>
  </si>
  <si>
    <t>SIJT-C-LS-HK-25A-25-0008</t>
  </si>
  <si>
    <t>福州美可普</t>
  </si>
  <si>
    <t>杭州事业部</t>
  </si>
  <si>
    <t>BIJT-B-JX-HK-25A-25-0004</t>
  </si>
  <si>
    <t>蓝天集团</t>
  </si>
  <si>
    <t>南宁事业部</t>
  </si>
  <si>
    <t>B</t>
  </si>
  <si>
    <t>IMJT-B-MLS-HK-3000600-25-2</t>
  </si>
  <si>
    <t>杭州杭人口腔1</t>
  </si>
  <si>
    <t>BIJT-C-LS-HK-25A-25-0020</t>
  </si>
  <si>
    <t>新会壹心维美</t>
  </si>
  <si>
    <t>SIJT-B-MLS-HK-25-0004</t>
  </si>
  <si>
    <t>麦芽</t>
  </si>
  <si>
    <t>BIJT-C-LS-HK-25A-25-0032</t>
  </si>
  <si>
    <t>南宁天使</t>
  </si>
  <si>
    <t>BIJT-C-JX-HK-25A-25-0011</t>
  </si>
  <si>
    <t>希柏莱（穗华口腔）</t>
  </si>
  <si>
    <t>BIJT-C-LS-HK-25A-25-0026</t>
  </si>
  <si>
    <t>绍兴复大</t>
  </si>
  <si>
    <t>BIJT-B-LS-HK-25A-25-0007</t>
  </si>
  <si>
    <t>厦门优选医疗科技有限公司</t>
  </si>
  <si>
    <t>BIJT-C-JX-XK-25A-25-0001</t>
  </si>
  <si>
    <t>北京顺德</t>
  </si>
  <si>
    <t>BIJT-C-LS-HK-25A-25-0064</t>
  </si>
  <si>
    <t>柏乐集团</t>
  </si>
  <si>
    <t>BIJT-C-LS-XK-25A-25-0003</t>
  </si>
  <si>
    <t>恩施汉祥医疗科技有限公司</t>
  </si>
  <si>
    <t>青岛事业部</t>
  </si>
  <si>
    <t>BIJT-C-LS-HK-25A-25-0062</t>
  </si>
  <si>
    <t>杭州杭人口腔2</t>
  </si>
  <si>
    <t>BIJT-B-LS-HK-25A-25-0009</t>
  </si>
  <si>
    <t>绍兴京韩</t>
  </si>
  <si>
    <t>SIJT-C-LS-HK-25A-25-0005</t>
  </si>
  <si>
    <t>南京新亚医疗器械有限公司1</t>
  </si>
  <si>
    <t>南京事业部</t>
  </si>
  <si>
    <t>BIJT-B-LS-HK-25A-25-0006</t>
  </si>
  <si>
    <t>南京和裕医疗器械有限公司1</t>
  </si>
  <si>
    <t>BIJT-C-LS-HK-25A-25-0012</t>
  </si>
  <si>
    <t>伶牙利</t>
  </si>
  <si>
    <t>BIJT-C-LS-HK-25A-25-0047</t>
  </si>
  <si>
    <t>北京优贝</t>
  </si>
  <si>
    <t>TIJT-C-LS-HK-25A-25-0007</t>
  </si>
  <si>
    <t>金海莱蒽1</t>
  </si>
  <si>
    <t>BIJT-B-JX-HK-25A-25-0007</t>
  </si>
  <si>
    <t>东莞东城百花1</t>
  </si>
  <si>
    <t>BIJT-A-JX-HK-25A-25-0009</t>
  </si>
  <si>
    <t>陌客尔</t>
  </si>
  <si>
    <t>BIJT-A-JX-HK-25A-25-0006</t>
  </si>
  <si>
    <t>上海健曜医疗器械有限公司1</t>
  </si>
  <si>
    <t>SIJT-C-MLS-HK-25-0002</t>
  </si>
  <si>
    <t>上海隆升和医疗科技有限公司</t>
  </si>
  <si>
    <t>BIJT-C-LS-HK-25A-25-0009</t>
  </si>
  <si>
    <t>宁波牙博士1</t>
  </si>
  <si>
    <t>SIJT-C-LS-HK-25A-25-0012</t>
  </si>
  <si>
    <t>北京中科领军</t>
  </si>
  <si>
    <t>TIJT-C-LS-HK-25A-25-0003</t>
  </si>
  <si>
    <t>顺德口腔</t>
  </si>
  <si>
    <t>BIJT-C-LS-HK-25A-25-0017</t>
  </si>
  <si>
    <t>北京鼎顺利商贸有限公司</t>
  </si>
  <si>
    <t>IMJT-B-MLS-HK-5800211-25-1</t>
  </si>
  <si>
    <t>无锡贝壳</t>
  </si>
  <si>
    <t>BIJT-C-LS-HK-25A-25-0082</t>
  </si>
  <si>
    <t>辽宁鼎冠义齿科技有限公司</t>
  </si>
  <si>
    <t>沈阳事业部</t>
  </si>
  <si>
    <t>BIJT-C-LS-HK-25A-25-0070</t>
  </si>
  <si>
    <t>北京雅仕</t>
  </si>
  <si>
    <t>IMJT-C-MLS-HK-5100911-25-9</t>
  </si>
  <si>
    <t>无锡佳士洁</t>
  </si>
  <si>
    <t>BIJT-C-LS-HK-25A-25-0024</t>
  </si>
  <si>
    <t>南京金铂利</t>
  </si>
  <si>
    <t>BIJT-C-LS-HK-25A-25-0050</t>
  </si>
  <si>
    <t>广州海科医疗技术有限公司</t>
  </si>
  <si>
    <t>IMJT-C-MLS-HK-5800294-25-1</t>
  </si>
  <si>
    <t>宜兴口腔</t>
  </si>
  <si>
    <t>BIJT-C-LS-HK-25A-25-0088</t>
  </si>
  <si>
    <t>莞口口腔</t>
  </si>
  <si>
    <t>BIJT-C-JX-HK-25A-25-0013</t>
  </si>
  <si>
    <t>康美尚（广州德伦）</t>
  </si>
  <si>
    <t>BIJT-C-LS-HK-25A-25-0029</t>
  </si>
  <si>
    <t>无锡爱牙</t>
  </si>
  <si>
    <t>SIJT-C-LS-HK-25A-25-0014</t>
  </si>
  <si>
    <t>吉林爱齿</t>
  </si>
  <si>
    <t>哈尔滨事业部</t>
  </si>
  <si>
    <t>IMJT-B-MLS-HK-4801242-25-1</t>
  </si>
  <si>
    <t>常州北极星</t>
  </si>
  <si>
    <t>BITJ-C-LS-HK-25A-25-0001</t>
  </si>
  <si>
    <t>常州艾齿嘉</t>
  </si>
  <si>
    <t>SIJT-A-JX-HK-25A-25-0004</t>
  </si>
  <si>
    <t>魔都派（上海）医疗器械有限公司</t>
  </si>
  <si>
    <t>BIJT-C-LS-HK-25A-25-0077</t>
  </si>
  <si>
    <t>同步</t>
  </si>
  <si>
    <t>소송중</t>
  </si>
  <si>
    <t>IMJT-C-MLS-HK-3000624-25-1</t>
  </si>
  <si>
    <t>深圳格伦菲尔</t>
  </si>
  <si>
    <t>SIJT-A-MLS-HK-25-0002</t>
  </si>
  <si>
    <t>武汉中泰医疗器械有限公司</t>
  </si>
  <si>
    <t>SIJT-C-LS-HK-25A-25-0001</t>
  </si>
  <si>
    <t>宁波诚适</t>
  </si>
  <si>
    <t>SIJT-C-MLS-HK-25-0003</t>
  </si>
  <si>
    <t>赤峰圭玺医疗器械有限公司</t>
  </si>
  <si>
    <t>BIJT-C-LS-HK-25A-25-0079</t>
  </si>
  <si>
    <t>湖北华玉</t>
  </si>
  <si>
    <t>BIJT-C-LS-HK-25A-25-0008</t>
  </si>
  <si>
    <t>福州海峡</t>
  </si>
  <si>
    <t>BIJT-C-LS-XK-25A-25-0005</t>
  </si>
  <si>
    <t>中诺集团2</t>
  </si>
  <si>
    <t>IMJT-C-LJX-HK-7200738-25-1</t>
  </si>
  <si>
    <t>南京舜禾贸易有限公司</t>
  </si>
  <si>
    <t>BIJT-A-JX-HK-25A-25-0003</t>
  </si>
  <si>
    <t>北京美呀</t>
  </si>
  <si>
    <t>BIJT-C-LS-HK-25A-25-0087</t>
  </si>
  <si>
    <t>万国口腔</t>
  </si>
  <si>
    <t>BIJT-C-LS-HK-25A-25-0055</t>
  </si>
  <si>
    <t>宁波德中</t>
  </si>
  <si>
    <t>BIJT-C-LS-HK-25A-25-0036</t>
  </si>
  <si>
    <t>温州一诺</t>
  </si>
  <si>
    <t>BIJT-A-LS-HK-25A-25-0001</t>
  </si>
  <si>
    <t>长春陈北松</t>
  </si>
  <si>
    <t>BIJT-B-JX-HK-25A-25-0003</t>
  </si>
  <si>
    <t>杭州望江门</t>
  </si>
  <si>
    <t>IMJT-C-MLS-XK-3000938-25-1</t>
  </si>
  <si>
    <t>东莞固德</t>
  </si>
  <si>
    <t>IMJT-C-MLS-XK-3000750-25-1</t>
  </si>
  <si>
    <t>科康</t>
  </si>
  <si>
    <t>BIJT-C-JX-HK-25A-25-0012</t>
  </si>
  <si>
    <t>柏德</t>
  </si>
  <si>
    <t>IMJT-B-MLS-HK-4800337-25-1</t>
  </si>
  <si>
    <t>沈阳九诺</t>
  </si>
  <si>
    <t>BIJT-C-LS-HK-25A-25-0048</t>
  </si>
  <si>
    <t>清镇牙博仕</t>
  </si>
  <si>
    <t>成都事业部</t>
  </si>
  <si>
    <t>BIJT-C-LS-HK-25A-25-0059</t>
  </si>
  <si>
    <t>美利口腔</t>
  </si>
  <si>
    <t>BIJT-C-LS-HK-25A-25-0053</t>
  </si>
  <si>
    <t>唐山牙博士</t>
  </si>
  <si>
    <t>BIJT-C-LS-HK-25A-25-0011</t>
  </si>
  <si>
    <t>贵州牙博士</t>
  </si>
  <si>
    <t>BIJT-C-JX-HK-25A-25-0019</t>
  </si>
  <si>
    <t>瑞珒集团</t>
  </si>
  <si>
    <t>BIJT-A-LS-HK-25A-25-0002</t>
  </si>
  <si>
    <t>北京海德堡</t>
  </si>
  <si>
    <t>IMJT-A-MLS-HK-5002600-25-1</t>
  </si>
  <si>
    <t>扬州贝恩</t>
  </si>
  <si>
    <t>BIJT-B-JX-HK-25A-25-0006</t>
  </si>
  <si>
    <t>杭州牙科</t>
  </si>
  <si>
    <t>SIJT-C-MLS-HK-25-0001</t>
  </si>
  <si>
    <t>北京拜和</t>
  </si>
  <si>
    <t>BIJT-C-JX-HK-25A-25-0002</t>
  </si>
  <si>
    <t>德周口腔</t>
  </si>
  <si>
    <t>BIJT-B-LS-HK-25A-25-0010</t>
  </si>
  <si>
    <t>阳光树集团</t>
  </si>
  <si>
    <t>BIJT-C-LS-HK-25A-25-0051</t>
  </si>
  <si>
    <t>北京爵冠</t>
  </si>
  <si>
    <t>IMJT-C-MLS-HK-5002741-25-1</t>
  </si>
  <si>
    <t>德贝美</t>
  </si>
  <si>
    <t>SIJT-C-LS-HK-25A-25-0002</t>
  </si>
  <si>
    <t>南宁牙博士</t>
  </si>
  <si>
    <t>IMJT-C-LJX-YC-4801743-25-1</t>
  </si>
  <si>
    <t>刘运波集团</t>
  </si>
  <si>
    <t>SIJT-B-MLS-HK-25-0002</t>
  </si>
  <si>
    <t>无锡牙坐标</t>
  </si>
  <si>
    <t>TIJT-C-LS-HK-25A-25-0006</t>
  </si>
  <si>
    <t>上海尤旦</t>
  </si>
  <si>
    <t>BIJT-C-LS-HK-25A-25-0007</t>
  </si>
  <si>
    <t>上海医大</t>
  </si>
  <si>
    <t>TIJT-C-ZLS-HK-25-3200747-25-1</t>
  </si>
  <si>
    <t>长沙优伢仕</t>
  </si>
  <si>
    <t>BIJT-C-LS-HK-25A-25-0052</t>
  </si>
  <si>
    <t>太原环中</t>
  </si>
  <si>
    <t>太原事业部</t>
  </si>
  <si>
    <t>BIJT-C-JX-HK-25A-25-0001</t>
  </si>
  <si>
    <t>上海华尔康新科医疗器械有限公司</t>
  </si>
  <si>
    <t>BIJT-C-LS-HK-25A-25-0069</t>
  </si>
  <si>
    <t>惠州微笑</t>
  </si>
  <si>
    <t>TIJT-C-ZLS-HK-25-3200018-25-1</t>
  </si>
  <si>
    <t>杭州民利</t>
  </si>
  <si>
    <t>SIJT-C-LS-HK-25A-25-0007</t>
  </si>
  <si>
    <t>大同精典</t>
  </si>
  <si>
    <t>SIJT-A-JX-HK-25A-25-0001</t>
  </si>
  <si>
    <t>北京诚之康</t>
  </si>
  <si>
    <t>BIJT-C-LS-HK-25A-25-0004</t>
  </si>
  <si>
    <t>济南海诺健康科技有限公司</t>
  </si>
  <si>
    <t>SIJT-A-LJX-HK-25-0003</t>
  </si>
  <si>
    <t>成都西南</t>
  </si>
  <si>
    <t>BIJT-C-LS-HK-25A-25-0044</t>
  </si>
  <si>
    <t>桥水医疗(启飞口腔)</t>
  </si>
  <si>
    <t>BIJT-C-LS-HK-25A-25-0023</t>
  </si>
  <si>
    <t>隆化谢氏热河口腔门诊部</t>
  </si>
  <si>
    <t>BIJT-C-LS-HK-25A-25-0033</t>
  </si>
  <si>
    <t>上海美奥</t>
  </si>
  <si>
    <t>IMJT-C-MLS-HK-5002679-25-1</t>
  </si>
  <si>
    <t>三亚微笑口腔门诊部</t>
  </si>
  <si>
    <t>SIJT-A-MLS-HK-25-0001</t>
  </si>
  <si>
    <t>保定牙博士</t>
  </si>
  <si>
    <t>BIJT-C-LS-HK-25A-25-0068</t>
  </si>
  <si>
    <t>长沙雅贝康</t>
  </si>
  <si>
    <t>IMJT-B-MLS-HK-5001069-25-1</t>
  </si>
  <si>
    <t>汕头市青年牙博士</t>
  </si>
  <si>
    <t>BIJT-B-LS-HK-25A-25-0011</t>
  </si>
  <si>
    <t>唐昊喆</t>
  </si>
  <si>
    <t>SIJT-C-MLS-HK-25-0004</t>
  </si>
  <si>
    <t>宁波甬创兴华医疗管理有限公司</t>
  </si>
  <si>
    <t>BIJT-B-JX-HK-25A-25-0001</t>
  </si>
  <si>
    <t>泉州安格尔</t>
  </si>
  <si>
    <t>SIJT-C-LS-HK-25A-25-0003</t>
  </si>
  <si>
    <t>梅州泽山</t>
  </si>
  <si>
    <t>SIJT-C-LS-HK-25A-25-0006</t>
  </si>
  <si>
    <t>苏州品植</t>
  </si>
  <si>
    <t>SIJT-B-MLS-HK-25-0001</t>
  </si>
  <si>
    <t>武汉德亚</t>
  </si>
  <si>
    <t>IMJT-C-LJX-HK-5100997-25-1</t>
  </si>
  <si>
    <t>上海美诺</t>
  </si>
  <si>
    <t>BIJT-A-JX-HK-25A-25-0001</t>
  </si>
  <si>
    <t>武汉德派</t>
  </si>
  <si>
    <t>BIJT-C-LS-HK-25A-25-0003</t>
  </si>
  <si>
    <t>大庆医大</t>
  </si>
  <si>
    <t>BIJT-C-LS-HK-25A-25-0083</t>
  </si>
  <si>
    <t>郑州臻诚医疗科技有限公司</t>
  </si>
  <si>
    <t>BIJT-C-JX-HK-25A-25-0016</t>
  </si>
  <si>
    <t>天津市河西北一口腔门诊有限公司</t>
  </si>
  <si>
    <t>BIJT-C-LS-HK-25A-25-0078</t>
  </si>
  <si>
    <t>包头市贝特瑞尔连锁管理有限公司</t>
  </si>
  <si>
    <t>SIJT-A-LJX-HK-25-0001</t>
  </si>
  <si>
    <t>上海维佳康</t>
  </si>
  <si>
    <t>IMJT-A-LJX-XK-4801498-25-2</t>
  </si>
  <si>
    <t>北京东直门口腔</t>
  </si>
  <si>
    <t>BIJT-C-JX-HK-25A-25-0007</t>
  </si>
  <si>
    <t>重庆种博士</t>
  </si>
  <si>
    <t>SIJT-B-LJX-HK-25-0001</t>
  </si>
  <si>
    <t>重庆牙博仕</t>
  </si>
  <si>
    <t>BIJT-C-LS-HK-25A-25-0015</t>
  </si>
  <si>
    <t>四川齿康未来医疗器械有限公司</t>
  </si>
  <si>
    <t>IMJT-C-MLS-HK-5002945-25-1</t>
  </si>
  <si>
    <t>温州口腔医院有限公司连锁</t>
  </si>
  <si>
    <t>BIJT-C-LS-HK-25A-25-0058</t>
  </si>
  <si>
    <t>天津鑫雅尔医疗管理有限公司</t>
  </si>
  <si>
    <t>IMJT-C-MLS-HK-4800341-25-1</t>
  </si>
  <si>
    <t>贵州美索斯科技有限公司</t>
  </si>
  <si>
    <t>BIJT-C-LS-HK-25A-25-0021</t>
  </si>
  <si>
    <t>博罗牙博士</t>
  </si>
  <si>
    <t>SIJT-C-LS-HK-25A-25-0013</t>
  </si>
  <si>
    <t>北京齿泰华口腔医院有限公司</t>
  </si>
  <si>
    <t>IMJT-C-LJX-YC-4801774-25-3</t>
  </si>
  <si>
    <t>马鞍山鑫马</t>
  </si>
  <si>
    <t>SIJT-C-LS-HK-25A-25-0011</t>
  </si>
  <si>
    <t>苏州海珥森医疗器械有限公司2</t>
  </si>
  <si>
    <t>SIJT-C-LS-HK-25A-25-0019</t>
  </si>
  <si>
    <t>西藏恒博医疗器械有限责任公司</t>
  </si>
  <si>
    <t>BIJT-C-LS-HK-25A-25-0072</t>
  </si>
  <si>
    <t>爱康健</t>
  </si>
  <si>
    <t>SIJT-A-MLS-HK-25-0005</t>
  </si>
  <si>
    <t>沈阳十方精诚医疗器械有限公司</t>
  </si>
  <si>
    <t>IMJT-C-MLS-HK-4000228-25-1</t>
  </si>
  <si>
    <t>常州固德熊猫</t>
  </si>
  <si>
    <t>BIJT-C-JX-HK-25A-25-0015</t>
  </si>
  <si>
    <t>中山松鼠</t>
  </si>
  <si>
    <t>BIJT-C-LS-HK-25A-25-0067</t>
  </si>
  <si>
    <t>武汉海柯迪医疗器械有限公司</t>
    <phoneticPr fontId="3" type="noConversion"/>
  </si>
  <si>
    <t>IMJT-C-MLS-HK-4601464-25-1</t>
  </si>
  <si>
    <t>南京康贝佳</t>
  </si>
  <si>
    <t>TIJT-C-LS-HK-25A-25-0001</t>
  </si>
  <si>
    <t>沈阳德亿康商贸有限公司</t>
  </si>
  <si>
    <t>BIJT-C-LS-HK-25A-25-0016</t>
  </si>
  <si>
    <t>如皋牙医</t>
  </si>
  <si>
    <t>TIJT-C-JXS-HK-25A-25-0001</t>
  </si>
  <si>
    <t>南京和裕医疗器械有限公司2</t>
  </si>
  <si>
    <t>SIJT-C-MLS-HK-25-0005</t>
  </si>
  <si>
    <t>江苏沪牙卫士医疗器械有限公司</t>
  </si>
  <si>
    <t>IMTJ-B-LJX-XK-3100743-25-1</t>
  </si>
  <si>
    <t>长沙春芽</t>
  </si>
  <si>
    <t>BIJT-B-JX-XK-25A-25-0001</t>
  </si>
  <si>
    <t>张家口玛格</t>
  </si>
  <si>
    <t>SIJT-A-LJX-HK-25-0004</t>
  </si>
  <si>
    <t>广安医贸惠众药业有限公司</t>
  </si>
  <si>
    <t>TIJT-C-LS-HK-25A-25-0002</t>
  </si>
  <si>
    <t>大厂立康</t>
  </si>
  <si>
    <t>BIJT-A-JX-HK-25A-25-0005</t>
  </si>
  <si>
    <t>合肥佳德</t>
  </si>
  <si>
    <t>BIJT-C-LS-HK-25A-25-0065</t>
  </si>
  <si>
    <t>郑州唯美</t>
  </si>
  <si>
    <t>IMJT-B-MLS-HK-4801538-25-1</t>
  </si>
  <si>
    <t>诸暨浙绍</t>
  </si>
  <si>
    <t>BIJT-A-JX-HK-25A-25-0002</t>
  </si>
  <si>
    <t>徐州牙管家</t>
  </si>
  <si>
    <t>BIJT-C-LS-HK-25A-25-0030</t>
  </si>
  <si>
    <t>成都星华美电子商务有限公司</t>
  </si>
  <si>
    <t>BIJT-A-JX-HK-25A-25-0004</t>
  </si>
  <si>
    <t>昆山苏迈尔</t>
  </si>
  <si>
    <t>BIJT-C-LS-HK-25A-25-0019</t>
  </si>
  <si>
    <t>北京华烨新北口腔有限公司</t>
  </si>
  <si>
    <t>IMJT-A-MLS-HK-5002208-25-1</t>
  </si>
  <si>
    <t>邢台宏皓</t>
  </si>
  <si>
    <t>SIJT-A-MLS-HK-25-0006</t>
  </si>
  <si>
    <t>成都圣贝</t>
  </si>
  <si>
    <t>SIJT-C-LS-HK-25A-25-0010</t>
  </si>
  <si>
    <t>无锡金汇</t>
  </si>
  <si>
    <t>IMJT-B-MLS-HK-4800025-25-1</t>
  </si>
  <si>
    <t>重庆臻时代</t>
  </si>
  <si>
    <t>IMJT-A-LJX-HK-3100905-25-1</t>
  </si>
  <si>
    <t>永齐</t>
  </si>
  <si>
    <t>BIJT-C-LS-HK-25A-25-0037</t>
  </si>
  <si>
    <t>徐州正博口腔医院有限公司</t>
  </si>
  <si>
    <t>BIJT-C-LS-HK-25A-25-0006</t>
  </si>
  <si>
    <t>重庆欧客尔</t>
  </si>
  <si>
    <t>BIJT-C-JX-XK-25A-25-0004</t>
  </si>
  <si>
    <t>北京雅宁</t>
  </si>
  <si>
    <t>BIJT-C-LS-HK-25A-25-0027</t>
  </si>
  <si>
    <t>北京劲松</t>
  </si>
  <si>
    <t>BIJT-C-LS-HK-25A-25-0041</t>
  </si>
  <si>
    <t>云南爱雅齿辉口腔医院有限公司广居路分公司</t>
  </si>
  <si>
    <t>BIJT-C-LS-HK-25A-25-0073</t>
  </si>
  <si>
    <t>杭州亮贝美口腔连锁</t>
  </si>
  <si>
    <t>BIJT-C-LS-HK-25A-25-0001</t>
  </si>
  <si>
    <t>金华博瑞迪医疗</t>
  </si>
  <si>
    <t>BIJT-C-JX-XK-25A-25-0002</t>
  </si>
  <si>
    <t>上海西大口腔诊所有限公司</t>
  </si>
  <si>
    <t>BIJT-C-LS-HK-25A-25-0002</t>
  </si>
  <si>
    <t>西昌春城口腔门诊部有限公司</t>
  </si>
  <si>
    <t>SIJT-C-LS-HK-25A-25-0015</t>
  </si>
  <si>
    <t>山西齿科医院</t>
  </si>
  <si>
    <t>IMJT-A-LJX-HK-5200757-25-1</t>
  </si>
  <si>
    <t>上海龙阖医疗器械科技有限公司</t>
  </si>
  <si>
    <t>TIJT-C-LS-HK-25A-25-0008</t>
  </si>
  <si>
    <t>众植齿科医院</t>
  </si>
  <si>
    <t>BIJT-C-LS-HK-25A-25-0084</t>
  </si>
  <si>
    <t>上海伊尔意口腔门诊部有限公司</t>
  </si>
  <si>
    <t>BIJT-B-JX-HK-25A-25-0005</t>
  </si>
  <si>
    <t>深圳尔睦丽沙口腔</t>
  </si>
  <si>
    <t>BIJT-C-LS-HK-25A-25-0046</t>
  </si>
  <si>
    <t>深圳河山口腔</t>
  </si>
  <si>
    <t>IMJT-C-LJX-HK-5200918-25-1</t>
  </si>
  <si>
    <t>深圳尚创峰口腔门诊部</t>
  </si>
  <si>
    <t>TIJT-C-LS-HK-25A-25-0005</t>
  </si>
  <si>
    <t>盐城晋瑞口腔门诊部有限公司</t>
  </si>
  <si>
    <t>SIJT-B-MLS-HK-25-0003</t>
  </si>
  <si>
    <t>金华蓝芽口腔连锁</t>
  </si>
  <si>
    <t>BIJT-C-JX-XK-25A-25-0003</t>
  </si>
  <si>
    <t>惠州精英</t>
  </si>
  <si>
    <t>BIJT-C-LS-HK-25A-25-0074</t>
  </si>
  <si>
    <t>江苏博伢(南京茀莱堡口腔医院)</t>
  </si>
  <si>
    <t>BIJT-C-LS-HK-25A-25-0075</t>
  </si>
  <si>
    <t>芜湖市江城口腔有限责任公司</t>
  </si>
  <si>
    <t>SIJT-C-LS-HK-25A-25-0020</t>
  </si>
  <si>
    <t>嘉兴雅贝恩口腔连锁</t>
  </si>
  <si>
    <t>TIJT-C-LS-HK-25A-25-0009</t>
  </si>
  <si>
    <t>迁安雅美</t>
  </si>
  <si>
    <t>BIJT-C-LS-HK-25A-25-0042</t>
  </si>
  <si>
    <t>包头市京卓口腔门诊部有限公司</t>
  </si>
  <si>
    <t>BIJT-C-LS-HK-25A-25-0028</t>
  </si>
  <si>
    <t>北京首口</t>
  </si>
  <si>
    <t>BIJT-C-LS-HK-25A-25-0039</t>
  </si>
  <si>
    <t>唐山博尔</t>
  </si>
  <si>
    <t>SIJT-A-LJX-HK-25-0002</t>
  </si>
  <si>
    <t>贵州丽齿口腔医院有限公司遵义路口腔门诊部</t>
  </si>
  <si>
    <t>BIJT-C-LS-HK-25A-25-0049</t>
  </si>
  <si>
    <t>长沙正念-好牙依</t>
  </si>
  <si>
    <t>BIJT-C-LS-XK-25A-25-0002</t>
  </si>
  <si>
    <t>云南亚云</t>
  </si>
  <si>
    <t>BIJT-C-JX-HK-25A-25-0010</t>
  </si>
  <si>
    <t>宁波牙博士2</t>
  </si>
  <si>
    <t>SIJT-C-LS-HK-25A-25-0004</t>
  </si>
  <si>
    <t>南京蓝鲟</t>
  </si>
  <si>
    <t>SIJT-A-LS-HK-25A-25-0001</t>
  </si>
  <si>
    <t>北京瑞尔</t>
  </si>
  <si>
    <t>SIJT-C-LJX-HK-25-0001</t>
  </si>
  <si>
    <t>玉溪舒尔</t>
  </si>
  <si>
    <t>BIJT-C-LS-HK-25A-25-0085</t>
  </si>
  <si>
    <t>江门市健森医疗器械有限公司</t>
  </si>
  <si>
    <t>BIJT-C-JX-HK-25A-25-0018</t>
  </si>
  <si>
    <t>江西贝尔医疗科技有限公司</t>
  </si>
  <si>
    <t>SIJT-A-MLS-HK-25-0003</t>
  </si>
  <si>
    <t>金海莱蒽2</t>
  </si>
  <si>
    <t>BIJT-C-JX-HK-25A-25-0017</t>
  </si>
  <si>
    <t>深圳君信</t>
  </si>
  <si>
    <t>BIJT-C-LS-HK-25A-25-0014</t>
  </si>
  <si>
    <t>杭州品凯</t>
  </si>
  <si>
    <t>BIJT-C-LS-HK-25A-25-0005</t>
  </si>
  <si>
    <t>长兴医疗器械公司</t>
  </si>
  <si>
    <t>SIJT-C-LS-HK-25A-25-0018</t>
  </si>
  <si>
    <t>湖北仁美</t>
  </si>
  <si>
    <t>BIJT-C-LS-HK-25A-25-0054</t>
  </si>
  <si>
    <t>宣城市为民口腔门诊部</t>
  </si>
  <si>
    <t>TIJT-A-ZLS-HK-25-3200508-25-1</t>
  </si>
  <si>
    <t>滨州瑞佳口腔医院有限公司</t>
  </si>
  <si>
    <t>BIJT-C-JX-HK-25A-25-0003</t>
  </si>
  <si>
    <t>众植博士</t>
  </si>
  <si>
    <t>IMJT-A-LJX-HK-3001090-25-1</t>
  </si>
  <si>
    <t>徐州诺恩口腔门诊部有限公司</t>
  </si>
  <si>
    <t>BIJT-C-LS-HK-25A-25-0045</t>
  </si>
  <si>
    <t>东莞东城百花2</t>
  </si>
  <si>
    <t>BIJT-C-LS-HK-25A-25-0076</t>
  </si>
  <si>
    <t>河北惟德口腔</t>
  </si>
  <si>
    <t>BIJT-C-LS-HK-25A-25-0022</t>
  </si>
  <si>
    <t>上海健曜医疗器械有限公司2</t>
  </si>
  <si>
    <t>BIJT-C-LS-HK-25A-25-0056</t>
  </si>
  <si>
    <t>南京新亚医疗器械有限公司2</t>
  </si>
  <si>
    <t>长沙牙祖口腔门诊部有限公司</t>
  </si>
  <si>
    <t>惠州口腔</t>
  </si>
  <si>
    <t>BIJT-C-LS-HK-25A-25-0031</t>
  </si>
  <si>
    <t>石家庄双合口腔</t>
  </si>
  <si>
    <t>烟台枫林医疗器械销售有限公司</t>
  </si>
  <si>
    <t>西安碑林大象口腔门诊部有限公司</t>
  </si>
  <si>
    <t>西宁事业部</t>
  </si>
  <si>
    <t>山东通汇医疗科技有限公司</t>
  </si>
  <si>
    <t>安徽摩汀口腔门诊有限公司</t>
  </si>
  <si>
    <t>重庆玖和医疗器械有限公司</t>
  </si>
  <si>
    <t>青岛柏瑞西诺德口腔门诊部</t>
  </si>
  <si>
    <t>上海鼎植</t>
  </si>
  <si>
    <t>杭州修元口腔</t>
  </si>
  <si>
    <t>苏州市相城区元和牙先生口腔诊所有限公司</t>
  </si>
  <si>
    <t>蚌埠皓芽口腔门诊部有限公司</t>
  </si>
  <si>
    <t>湖州伊雅医疗器械有限公司</t>
  </si>
  <si>
    <t>银川市兴庆区名仁口腔诊所</t>
  </si>
  <si>
    <t>合肥数智医疗管理有限公司</t>
  </si>
  <si>
    <t>郴州市植贝尔口腔有限公司</t>
  </si>
  <si>
    <t>泉州海丝口腔医院有限公司</t>
  </si>
  <si>
    <t>陌客尔2</t>
  </si>
  <si>
    <t>博罗牙博士2</t>
  </si>
  <si>
    <t>西宁蓝刺猬口腔门诊有限公司</t>
  </si>
  <si>
    <t>上海信智医疗器械有限公司</t>
  </si>
  <si>
    <t>北京劲松2</t>
  </si>
  <si>
    <t>东莞东城百花3</t>
  </si>
  <si>
    <t>26年/1月</t>
  </si>
  <si>
    <t>杭州通策</t>
  </si>
  <si>
    <t>植之道2</t>
  </si>
  <si>
    <t>滨海冠华口腔门诊部有限公司</t>
  </si>
  <si>
    <t>26年/2月</t>
  </si>
  <si>
    <t>诸暨杭成口腔门诊部有限公司</t>
  </si>
  <si>
    <t>福州美可普2</t>
  </si>
  <si>
    <t>南京和裕医疗器械有限公司3</t>
  </si>
  <si>
    <t>26年/3月</t>
  </si>
  <si>
    <t>西藏恒博医疗器械有限责任公司2</t>
  </si>
  <si>
    <t>品杰口腔</t>
  </si>
  <si>
    <t>忠贲医疗</t>
  </si>
  <si>
    <t>常州今日</t>
  </si>
  <si>
    <t>合肥爱尔美口腔门诊部有限公司</t>
  </si>
  <si>
    <t>北京优贝2</t>
  </si>
  <si>
    <t>北京顺德2</t>
  </si>
  <si>
    <t>泰州玲珑口腔</t>
  </si>
  <si>
    <t>安徽静泽医疗器械有限公司</t>
  </si>
  <si>
    <t>취소계약제외</t>
    <phoneticPr fontId="19" type="noConversion"/>
  </si>
  <si>
    <r>
      <rPr>
        <b/>
        <sz val="10"/>
        <color theme="0"/>
        <rFont val="Malgun Gothic"/>
        <family val="2"/>
      </rPr>
      <t>그룹</t>
    </r>
    <phoneticPr fontId="19" type="noConversion"/>
  </si>
  <si>
    <t>사업부</t>
    <phoneticPr fontId="19" type="noConversion"/>
  </si>
  <si>
    <t>계약번호</t>
    <phoneticPr fontId="19" type="noConversion"/>
  </si>
  <si>
    <t>등급</t>
    <phoneticPr fontId="19" type="noConversion"/>
  </si>
  <si>
    <t>계약횟수</t>
    <phoneticPr fontId="19" type="noConversion"/>
  </si>
  <si>
    <r>
      <rPr>
        <b/>
        <sz val="10"/>
        <color theme="0"/>
        <rFont val="等线"/>
        <family val="3"/>
        <charset val="134"/>
      </rPr>
      <t>赠</t>
    </r>
    <r>
      <rPr>
        <b/>
        <sz val="10"/>
        <color theme="0"/>
        <rFont val="Malgun Gothic"/>
        <family val="2"/>
      </rPr>
      <t>送名</t>
    </r>
    <r>
      <rPr>
        <b/>
        <sz val="10"/>
        <color theme="0"/>
        <rFont val="等线"/>
        <family val="3"/>
        <charset val="134"/>
      </rPr>
      <t>额</t>
    </r>
    <phoneticPr fontId="19" type="noConversion"/>
  </si>
  <si>
    <r>
      <t>申</t>
    </r>
    <r>
      <rPr>
        <b/>
        <sz val="10"/>
        <color theme="0"/>
        <rFont val="等线"/>
        <family val="3"/>
        <charset val="134"/>
      </rPr>
      <t>请</t>
    </r>
    <r>
      <rPr>
        <b/>
        <sz val="10"/>
        <color theme="0"/>
        <rFont val="Malgun Gothic"/>
        <family val="2"/>
      </rPr>
      <t>名</t>
    </r>
    <r>
      <rPr>
        <b/>
        <sz val="10"/>
        <color theme="0"/>
        <rFont val="等线"/>
        <family val="3"/>
        <charset val="134"/>
      </rPr>
      <t>额</t>
    </r>
    <phoneticPr fontId="19" type="noConversion"/>
  </si>
  <si>
    <r>
      <t>剩余</t>
    </r>
    <r>
      <rPr>
        <b/>
        <sz val="10"/>
        <color theme="0"/>
        <rFont val="等线"/>
        <family val="3"/>
        <charset val="134"/>
      </rPr>
      <t>数</t>
    </r>
    <r>
      <rPr>
        <b/>
        <sz val="10"/>
        <color theme="0"/>
        <rFont val="Malgun Gothic"/>
        <family val="2"/>
      </rPr>
      <t>量</t>
    </r>
    <phoneticPr fontId="19" type="noConversion"/>
  </si>
  <si>
    <t>소진율</t>
    <phoneticPr fontId="19" type="noConversion"/>
  </si>
  <si>
    <t>fix
교환수량</t>
    <phoneticPr fontId="19" type="noConversion"/>
  </si>
  <si>
    <t>교환가능</t>
    <phoneticPr fontId="19" type="noConversion"/>
  </si>
  <si>
    <t>국내OIC</t>
    <phoneticPr fontId="19" type="noConversion"/>
  </si>
  <si>
    <t>해외OIC</t>
    <phoneticPr fontId="19" type="noConversion"/>
  </si>
  <si>
    <t>증정수량</t>
    <phoneticPr fontId="19" type="noConversion"/>
  </si>
  <si>
    <t>TOTAL</t>
    <phoneticPr fontId="19" type="noConversion"/>
  </si>
  <si>
    <t>공립사용</t>
    <phoneticPr fontId="19" type="noConversion"/>
  </si>
  <si>
    <t>시장부사용</t>
    <phoneticPr fontId="19" type="noConversion"/>
  </si>
  <si>
    <r>
      <rPr>
        <sz val="10"/>
        <color indexed="8"/>
        <rFont val="等线"/>
        <family val="3"/>
        <charset val="134"/>
      </rPr>
      <t>爱</t>
    </r>
    <r>
      <rPr>
        <sz val="10"/>
        <color indexed="8"/>
        <rFont val="Malgun Gothic"/>
        <family val="2"/>
      </rPr>
      <t>康健</t>
    </r>
  </si>
  <si>
    <r>
      <t>上海隆升和</t>
    </r>
    <r>
      <rPr>
        <sz val="10"/>
        <color indexed="8"/>
        <rFont val="等线"/>
        <family val="3"/>
        <charset val="134"/>
      </rPr>
      <t>医疗</t>
    </r>
    <r>
      <rPr>
        <sz val="10"/>
        <color indexed="8"/>
        <rFont val="Malgun Gothic"/>
        <family val="2"/>
      </rPr>
      <t>科技有限公司</t>
    </r>
  </si>
  <si>
    <r>
      <t>安徽摩汀口腔</t>
    </r>
    <r>
      <rPr>
        <sz val="10"/>
        <color indexed="8"/>
        <rFont val="等线"/>
        <family val="3"/>
        <charset val="134"/>
      </rPr>
      <t>门诊</t>
    </r>
    <r>
      <rPr>
        <sz val="10"/>
        <color indexed="8"/>
        <rFont val="Malgun Gothic"/>
        <family val="2"/>
      </rPr>
      <t>有限公司</t>
    </r>
  </si>
  <si>
    <r>
      <t>柏</t>
    </r>
    <r>
      <rPr>
        <sz val="10"/>
        <color indexed="8"/>
        <rFont val="等线"/>
        <family val="3"/>
        <charset val="134"/>
      </rPr>
      <t>乐</t>
    </r>
    <r>
      <rPr>
        <sz val="10"/>
        <color indexed="8"/>
        <rFont val="Malgun Gothic"/>
        <family val="2"/>
      </rPr>
      <t>集</t>
    </r>
    <r>
      <rPr>
        <sz val="10"/>
        <color indexed="8"/>
        <rFont val="等线"/>
        <family val="3"/>
        <charset val="134"/>
      </rPr>
      <t>团</t>
    </r>
  </si>
  <si>
    <r>
      <rPr>
        <sz val="10"/>
        <color indexed="8"/>
        <rFont val="等线"/>
        <family val="3"/>
        <charset val="134"/>
      </rPr>
      <t>麦</t>
    </r>
    <r>
      <rPr>
        <sz val="10"/>
        <color indexed="8"/>
        <rFont val="Malgun Gothic"/>
        <family val="2"/>
      </rPr>
      <t>芽</t>
    </r>
  </si>
  <si>
    <r>
      <t>蚌埠皓芽口腔</t>
    </r>
    <r>
      <rPr>
        <sz val="10"/>
        <color indexed="8"/>
        <rFont val="等线"/>
        <family val="3"/>
        <charset val="134"/>
      </rPr>
      <t>门诊</t>
    </r>
    <r>
      <rPr>
        <sz val="10"/>
        <color indexed="8"/>
        <rFont val="Malgun Gothic"/>
        <family val="2"/>
      </rPr>
      <t>部有限公司</t>
    </r>
  </si>
  <si>
    <r>
      <t>包</t>
    </r>
    <r>
      <rPr>
        <sz val="10"/>
        <color indexed="8"/>
        <rFont val="等线"/>
        <family val="3"/>
        <charset val="134"/>
      </rPr>
      <t>头</t>
    </r>
    <r>
      <rPr>
        <sz val="10"/>
        <color indexed="8"/>
        <rFont val="Malgun Gothic"/>
        <family val="2"/>
      </rPr>
      <t>市</t>
    </r>
    <r>
      <rPr>
        <sz val="10"/>
        <color indexed="8"/>
        <rFont val="等线"/>
        <family val="3"/>
        <charset val="134"/>
      </rPr>
      <t>贝</t>
    </r>
    <r>
      <rPr>
        <sz val="10"/>
        <color indexed="8"/>
        <rFont val="Malgun Gothic"/>
        <family val="2"/>
      </rPr>
      <t>特瑞</t>
    </r>
    <r>
      <rPr>
        <sz val="10"/>
        <color indexed="8"/>
        <rFont val="等线"/>
        <family val="3"/>
        <charset val="134"/>
      </rPr>
      <t>尔连锁</t>
    </r>
    <r>
      <rPr>
        <sz val="10"/>
        <color indexed="8"/>
        <rFont val="Malgun Gothic"/>
        <family val="2"/>
      </rPr>
      <t>管理有限公司</t>
    </r>
  </si>
  <si>
    <r>
      <t>厦</t>
    </r>
    <r>
      <rPr>
        <sz val="10"/>
        <color indexed="8"/>
        <rFont val="等线"/>
        <family val="3"/>
        <charset val="134"/>
      </rPr>
      <t>门优选医疗</t>
    </r>
    <r>
      <rPr>
        <sz val="10"/>
        <color indexed="8"/>
        <rFont val="Malgun Gothic"/>
        <family val="2"/>
      </rPr>
      <t>科技有限公司</t>
    </r>
  </si>
  <si>
    <r>
      <t>包</t>
    </r>
    <r>
      <rPr>
        <sz val="10"/>
        <color indexed="8"/>
        <rFont val="等线"/>
        <family val="3"/>
        <charset val="134"/>
      </rPr>
      <t>头</t>
    </r>
    <r>
      <rPr>
        <sz val="10"/>
        <color indexed="8"/>
        <rFont val="Malgun Gothic"/>
        <family val="2"/>
      </rPr>
      <t>市京卓口腔</t>
    </r>
    <r>
      <rPr>
        <sz val="10"/>
        <color indexed="8"/>
        <rFont val="等线"/>
        <family val="3"/>
        <charset val="134"/>
      </rPr>
      <t>门诊</t>
    </r>
    <r>
      <rPr>
        <sz val="10"/>
        <color indexed="8"/>
        <rFont val="Malgun Gothic"/>
        <family val="2"/>
      </rPr>
      <t>部有限公司</t>
    </r>
  </si>
  <si>
    <r>
      <rPr>
        <sz val="10"/>
        <color indexed="8"/>
        <rFont val="等线"/>
        <family val="3"/>
        <charset val="134"/>
      </rPr>
      <t>蓝</t>
    </r>
    <r>
      <rPr>
        <sz val="10"/>
        <color indexed="8"/>
        <rFont val="Malgun Gothic"/>
        <family val="2"/>
      </rPr>
      <t>天集</t>
    </r>
    <r>
      <rPr>
        <sz val="10"/>
        <color indexed="8"/>
        <rFont val="等线"/>
        <family val="3"/>
        <charset val="134"/>
      </rPr>
      <t>团</t>
    </r>
  </si>
  <si>
    <r>
      <t>南</t>
    </r>
    <r>
      <rPr>
        <sz val="10"/>
        <color indexed="8"/>
        <rFont val="等线"/>
        <family val="3"/>
        <charset val="134"/>
      </rPr>
      <t>宁</t>
    </r>
    <r>
      <rPr>
        <sz val="10"/>
        <color indexed="8"/>
        <rFont val="Malgun Gothic"/>
        <family val="2"/>
      </rPr>
      <t>天使</t>
    </r>
  </si>
  <si>
    <t>C</t>
    <phoneticPr fontId="19" type="noConversion"/>
  </si>
  <si>
    <r>
      <t>北京</t>
    </r>
    <r>
      <rPr>
        <sz val="10"/>
        <color indexed="8"/>
        <rFont val="等线"/>
        <family val="3"/>
        <charset val="134"/>
      </rPr>
      <t>诚</t>
    </r>
    <r>
      <rPr>
        <sz val="10"/>
        <color indexed="8"/>
        <rFont val="Malgun Gothic"/>
        <family val="2"/>
      </rPr>
      <t>之康</t>
    </r>
  </si>
  <si>
    <r>
      <t>北京</t>
    </r>
    <r>
      <rPr>
        <sz val="10"/>
        <color indexed="8"/>
        <rFont val="等线"/>
        <family val="3"/>
        <charset val="134"/>
      </rPr>
      <t>顺</t>
    </r>
    <r>
      <rPr>
        <sz val="10"/>
        <color indexed="8"/>
        <rFont val="Malgun Gothic"/>
        <family val="2"/>
      </rPr>
      <t>德</t>
    </r>
  </si>
  <si>
    <r>
      <t>北京</t>
    </r>
    <r>
      <rPr>
        <sz val="10"/>
        <color indexed="8"/>
        <rFont val="等线"/>
        <family val="3"/>
        <charset val="134"/>
      </rPr>
      <t>齿</t>
    </r>
    <r>
      <rPr>
        <sz val="10"/>
        <color indexed="8"/>
        <rFont val="Malgun Gothic"/>
        <family val="2"/>
      </rPr>
      <t>泰</t>
    </r>
    <r>
      <rPr>
        <sz val="10"/>
        <color indexed="8"/>
        <rFont val="等线"/>
        <family val="3"/>
        <charset val="134"/>
      </rPr>
      <t>华</t>
    </r>
    <r>
      <rPr>
        <sz val="10"/>
        <color indexed="8"/>
        <rFont val="Malgun Gothic"/>
        <family val="2"/>
      </rPr>
      <t>口腔</t>
    </r>
    <r>
      <rPr>
        <sz val="10"/>
        <color indexed="8"/>
        <rFont val="等线"/>
        <family val="3"/>
        <charset val="134"/>
      </rPr>
      <t>医</t>
    </r>
    <r>
      <rPr>
        <sz val="10"/>
        <color indexed="8"/>
        <rFont val="Malgun Gothic"/>
        <family val="2"/>
      </rPr>
      <t>院有限公司</t>
    </r>
  </si>
  <si>
    <r>
      <rPr>
        <sz val="10"/>
        <color indexed="8"/>
        <rFont val="等线"/>
        <family val="3"/>
        <charset val="134"/>
      </rPr>
      <t>绍兴复</t>
    </r>
    <r>
      <rPr>
        <sz val="10"/>
        <color indexed="8"/>
        <rFont val="Malgun Gothic"/>
        <family val="2"/>
      </rPr>
      <t>大</t>
    </r>
  </si>
  <si>
    <r>
      <t>北京鼎</t>
    </r>
    <r>
      <rPr>
        <sz val="10"/>
        <color indexed="8"/>
        <rFont val="等线"/>
        <family val="3"/>
        <charset val="134"/>
      </rPr>
      <t>顺</t>
    </r>
    <r>
      <rPr>
        <sz val="10"/>
        <color indexed="8"/>
        <rFont val="Malgun Gothic"/>
        <family val="2"/>
      </rPr>
      <t>利商</t>
    </r>
    <r>
      <rPr>
        <sz val="10"/>
        <color indexed="8"/>
        <rFont val="等线"/>
        <family val="3"/>
        <charset val="134"/>
      </rPr>
      <t>贸</t>
    </r>
    <r>
      <rPr>
        <sz val="10"/>
        <color indexed="8"/>
        <rFont val="Malgun Gothic"/>
        <family val="2"/>
      </rPr>
      <t>有限公司</t>
    </r>
  </si>
  <si>
    <r>
      <t>北京</t>
    </r>
    <r>
      <rPr>
        <sz val="10"/>
        <color indexed="8"/>
        <rFont val="等线"/>
        <family val="3"/>
        <charset val="134"/>
      </rPr>
      <t>东</t>
    </r>
    <r>
      <rPr>
        <sz val="10"/>
        <color indexed="8"/>
        <rFont val="Malgun Gothic"/>
        <family val="2"/>
      </rPr>
      <t>直</t>
    </r>
    <r>
      <rPr>
        <sz val="10"/>
        <color indexed="8"/>
        <rFont val="等线"/>
        <family val="3"/>
        <charset val="134"/>
      </rPr>
      <t>门</t>
    </r>
    <r>
      <rPr>
        <sz val="10"/>
        <color indexed="8"/>
        <rFont val="Malgun Gothic"/>
        <family val="2"/>
      </rPr>
      <t>口腔</t>
    </r>
  </si>
  <si>
    <r>
      <t>恩施</t>
    </r>
    <r>
      <rPr>
        <sz val="10"/>
        <color indexed="8"/>
        <rFont val="等线"/>
        <family val="3"/>
        <charset val="134"/>
      </rPr>
      <t>汉</t>
    </r>
    <r>
      <rPr>
        <sz val="10"/>
        <color indexed="8"/>
        <rFont val="Malgun Gothic"/>
        <family val="2"/>
      </rPr>
      <t>祥</t>
    </r>
    <r>
      <rPr>
        <sz val="10"/>
        <color indexed="8"/>
        <rFont val="等线"/>
        <family val="3"/>
        <charset val="134"/>
      </rPr>
      <t>医疗</t>
    </r>
    <r>
      <rPr>
        <sz val="10"/>
        <color indexed="8"/>
        <rFont val="Malgun Gothic"/>
        <family val="2"/>
      </rPr>
      <t>科技有限公司</t>
    </r>
  </si>
  <si>
    <r>
      <t>北京</t>
    </r>
    <r>
      <rPr>
        <sz val="10"/>
        <color indexed="8"/>
        <rFont val="等线"/>
        <family val="3"/>
        <charset val="134"/>
      </rPr>
      <t>华烨</t>
    </r>
    <r>
      <rPr>
        <sz val="10"/>
        <color indexed="8"/>
        <rFont val="Malgun Gothic"/>
        <family val="2"/>
      </rPr>
      <t>新北口腔有限公司</t>
    </r>
  </si>
  <si>
    <r>
      <t>新</t>
    </r>
    <r>
      <rPr>
        <sz val="10"/>
        <color indexed="8"/>
        <rFont val="等线"/>
        <family val="3"/>
        <charset val="134"/>
      </rPr>
      <t>会</t>
    </r>
    <r>
      <rPr>
        <sz val="10"/>
        <color indexed="8"/>
        <rFont val="Malgun Gothic"/>
        <family val="2"/>
      </rPr>
      <t>壹心</t>
    </r>
    <r>
      <rPr>
        <sz val="10"/>
        <color indexed="8"/>
        <rFont val="等线"/>
        <family val="3"/>
        <charset val="134"/>
      </rPr>
      <t>维</t>
    </r>
    <r>
      <rPr>
        <sz val="10"/>
        <color indexed="8"/>
        <rFont val="Malgun Gothic"/>
        <family val="2"/>
      </rPr>
      <t>美</t>
    </r>
  </si>
  <si>
    <r>
      <t>北京</t>
    </r>
    <r>
      <rPr>
        <sz val="10"/>
        <color indexed="8"/>
        <rFont val="等线"/>
        <family val="3"/>
        <charset val="134"/>
      </rPr>
      <t>劲</t>
    </r>
    <r>
      <rPr>
        <sz val="10"/>
        <color indexed="8"/>
        <rFont val="Malgun Gothic"/>
        <family val="2"/>
      </rPr>
      <t>松</t>
    </r>
  </si>
  <si>
    <r>
      <rPr>
        <sz val="10"/>
        <color indexed="8"/>
        <rFont val="等线"/>
        <family val="3"/>
        <charset val="134"/>
      </rPr>
      <t>苏</t>
    </r>
    <r>
      <rPr>
        <sz val="10"/>
        <color indexed="8"/>
        <rFont val="Malgun Gothic"/>
        <family val="2"/>
      </rPr>
      <t>州海珥森</t>
    </r>
    <r>
      <rPr>
        <sz val="10"/>
        <color indexed="8"/>
        <rFont val="等线"/>
        <family val="3"/>
        <charset val="134"/>
      </rPr>
      <t>医疗</t>
    </r>
    <r>
      <rPr>
        <sz val="10"/>
        <color indexed="8"/>
        <rFont val="Malgun Gothic"/>
        <family val="2"/>
      </rPr>
      <t>器械有限公司1</t>
    </r>
  </si>
  <si>
    <r>
      <t>北京</t>
    </r>
    <r>
      <rPr>
        <sz val="10"/>
        <color indexed="8"/>
        <rFont val="等线"/>
        <family val="3"/>
        <charset val="134"/>
      </rPr>
      <t>劲</t>
    </r>
    <r>
      <rPr>
        <sz val="10"/>
        <color indexed="8"/>
        <rFont val="Malgun Gothic"/>
        <family val="2"/>
      </rPr>
      <t>松2</t>
    </r>
  </si>
  <si>
    <r>
      <rPr>
        <sz val="10"/>
        <color indexed="8"/>
        <rFont val="等线"/>
        <family val="3"/>
        <charset val="134"/>
      </rPr>
      <t>东</t>
    </r>
    <r>
      <rPr>
        <sz val="10"/>
        <color indexed="8"/>
        <rFont val="Malgun Gothic"/>
        <family val="2"/>
      </rPr>
      <t>莞</t>
    </r>
    <r>
      <rPr>
        <sz val="10"/>
        <color indexed="8"/>
        <rFont val="等线"/>
        <family val="3"/>
        <charset val="134"/>
      </rPr>
      <t>东</t>
    </r>
    <r>
      <rPr>
        <sz val="10"/>
        <color indexed="8"/>
        <rFont val="Malgun Gothic"/>
        <family val="2"/>
      </rPr>
      <t>城百花1</t>
    </r>
  </si>
  <si>
    <r>
      <t>北京美</t>
    </r>
    <r>
      <rPr>
        <sz val="10"/>
        <color indexed="8"/>
        <rFont val="等线"/>
        <family val="3"/>
        <charset val="134"/>
      </rPr>
      <t>呀</t>
    </r>
  </si>
  <si>
    <r>
      <t>北京瑞</t>
    </r>
    <r>
      <rPr>
        <sz val="10"/>
        <color indexed="8"/>
        <rFont val="等线"/>
        <family val="3"/>
        <charset val="134"/>
      </rPr>
      <t>尔</t>
    </r>
  </si>
  <si>
    <r>
      <t>陌客</t>
    </r>
    <r>
      <rPr>
        <sz val="10"/>
        <color indexed="8"/>
        <rFont val="等线"/>
        <family val="3"/>
        <charset val="134"/>
      </rPr>
      <t>尔</t>
    </r>
  </si>
  <si>
    <r>
      <t>北京雅</t>
    </r>
    <r>
      <rPr>
        <sz val="10"/>
        <color indexed="8"/>
        <rFont val="等线"/>
        <family val="3"/>
        <charset val="134"/>
      </rPr>
      <t>宁</t>
    </r>
  </si>
  <si>
    <r>
      <rPr>
        <sz val="10"/>
        <color indexed="8"/>
        <rFont val="等线"/>
        <family val="3"/>
        <charset val="134"/>
      </rPr>
      <t>东</t>
    </r>
    <r>
      <rPr>
        <sz val="10"/>
        <color indexed="8"/>
        <rFont val="Malgun Gothic"/>
        <family val="2"/>
      </rPr>
      <t>莞固德</t>
    </r>
  </si>
  <si>
    <r>
      <t>北京</t>
    </r>
    <r>
      <rPr>
        <sz val="10"/>
        <color indexed="8"/>
        <rFont val="等线"/>
        <family val="3"/>
        <charset val="134"/>
      </rPr>
      <t>优贝</t>
    </r>
  </si>
  <si>
    <r>
      <rPr>
        <sz val="10"/>
        <color indexed="8"/>
        <rFont val="等线"/>
        <family val="3"/>
        <charset val="134"/>
      </rPr>
      <t>广</t>
    </r>
    <r>
      <rPr>
        <sz val="10"/>
        <color indexed="8"/>
        <rFont val="Malgun Gothic"/>
        <family val="2"/>
      </rPr>
      <t>州海科</t>
    </r>
    <r>
      <rPr>
        <sz val="10"/>
        <color indexed="8"/>
        <rFont val="等线"/>
        <family val="3"/>
        <charset val="134"/>
      </rPr>
      <t>医疗</t>
    </r>
    <r>
      <rPr>
        <sz val="10"/>
        <color indexed="8"/>
        <rFont val="Malgun Gothic"/>
        <family val="2"/>
      </rPr>
      <t>技</t>
    </r>
    <r>
      <rPr>
        <sz val="10"/>
        <color indexed="8"/>
        <rFont val="等线"/>
        <family val="3"/>
        <charset val="134"/>
      </rPr>
      <t>术</t>
    </r>
    <r>
      <rPr>
        <sz val="10"/>
        <color indexed="8"/>
        <rFont val="Malgun Gothic"/>
        <family val="2"/>
      </rPr>
      <t>有限公司</t>
    </r>
  </si>
  <si>
    <r>
      <t>北京中科</t>
    </r>
    <r>
      <rPr>
        <sz val="10"/>
        <color indexed="8"/>
        <rFont val="等线"/>
        <family val="3"/>
        <charset val="134"/>
      </rPr>
      <t>领军</t>
    </r>
  </si>
  <si>
    <r>
      <t>常州艾</t>
    </r>
    <r>
      <rPr>
        <sz val="10"/>
        <color indexed="8"/>
        <rFont val="等线"/>
        <family val="3"/>
        <charset val="134"/>
      </rPr>
      <t>齿</t>
    </r>
    <r>
      <rPr>
        <sz val="10"/>
        <color indexed="8"/>
        <rFont val="Malgun Gothic"/>
        <family val="2"/>
      </rPr>
      <t>嘉</t>
    </r>
  </si>
  <si>
    <r>
      <rPr>
        <sz val="10"/>
        <color indexed="8"/>
        <rFont val="等线"/>
        <family val="3"/>
        <charset val="134"/>
      </rPr>
      <t>滨</t>
    </r>
    <r>
      <rPr>
        <sz val="10"/>
        <color indexed="8"/>
        <rFont val="Malgun Gothic"/>
        <family val="2"/>
      </rPr>
      <t>州瑞佳口腔</t>
    </r>
    <r>
      <rPr>
        <sz val="10"/>
        <color indexed="8"/>
        <rFont val="等线"/>
        <family val="3"/>
        <charset val="134"/>
      </rPr>
      <t>医</t>
    </r>
    <r>
      <rPr>
        <sz val="10"/>
        <color indexed="8"/>
        <rFont val="Malgun Gothic"/>
        <family val="2"/>
      </rPr>
      <t>院有限公司</t>
    </r>
  </si>
  <si>
    <r>
      <t>博</t>
    </r>
    <r>
      <rPr>
        <sz val="10"/>
        <color indexed="8"/>
        <rFont val="等线"/>
        <family val="3"/>
        <charset val="134"/>
      </rPr>
      <t>罗</t>
    </r>
    <r>
      <rPr>
        <sz val="10"/>
        <color indexed="8"/>
        <rFont val="Malgun Gothic"/>
        <family val="2"/>
      </rPr>
      <t>牙博士</t>
    </r>
  </si>
  <si>
    <r>
      <t>深</t>
    </r>
    <r>
      <rPr>
        <sz val="10"/>
        <color indexed="8"/>
        <rFont val="等线"/>
        <family val="3"/>
        <charset val="134"/>
      </rPr>
      <t>圳</t>
    </r>
    <r>
      <rPr>
        <sz val="10"/>
        <color indexed="8"/>
        <rFont val="Malgun Gothic"/>
        <family val="2"/>
      </rPr>
      <t>格</t>
    </r>
    <r>
      <rPr>
        <sz val="10"/>
        <color indexed="8"/>
        <rFont val="等线"/>
        <family val="3"/>
        <charset val="134"/>
      </rPr>
      <t>伦</t>
    </r>
    <r>
      <rPr>
        <sz val="10"/>
        <color indexed="8"/>
        <rFont val="Malgun Gothic"/>
        <family val="2"/>
      </rPr>
      <t>菲</t>
    </r>
    <r>
      <rPr>
        <sz val="10"/>
        <color indexed="8"/>
        <rFont val="等线"/>
        <family val="3"/>
        <charset val="134"/>
      </rPr>
      <t>尔</t>
    </r>
  </si>
  <si>
    <r>
      <t>博</t>
    </r>
    <r>
      <rPr>
        <sz val="10"/>
        <color indexed="8"/>
        <rFont val="等线"/>
        <family val="3"/>
        <charset val="134"/>
      </rPr>
      <t>罗</t>
    </r>
    <r>
      <rPr>
        <sz val="10"/>
        <color indexed="8"/>
        <rFont val="Malgun Gothic"/>
        <family val="2"/>
      </rPr>
      <t>牙博士2</t>
    </r>
  </si>
  <si>
    <r>
      <rPr>
        <sz val="10"/>
        <color indexed="8"/>
        <rFont val="等线"/>
        <family val="3"/>
        <charset val="134"/>
      </rPr>
      <t>顺</t>
    </r>
    <r>
      <rPr>
        <sz val="10"/>
        <color indexed="8"/>
        <rFont val="Malgun Gothic"/>
        <family val="2"/>
      </rPr>
      <t>德口腔</t>
    </r>
  </si>
  <si>
    <r>
      <t>万</t>
    </r>
    <r>
      <rPr>
        <sz val="10"/>
        <color indexed="8"/>
        <rFont val="等线"/>
        <family val="3"/>
        <charset val="134"/>
      </rPr>
      <t>国</t>
    </r>
    <r>
      <rPr>
        <sz val="10"/>
        <color indexed="8"/>
        <rFont val="Malgun Gothic"/>
        <family val="2"/>
      </rPr>
      <t>口腔</t>
    </r>
  </si>
  <si>
    <r>
      <t>常州北</t>
    </r>
    <r>
      <rPr>
        <sz val="10"/>
        <color indexed="8"/>
        <rFont val="等线"/>
        <family val="3"/>
        <charset val="134"/>
      </rPr>
      <t>极</t>
    </r>
    <r>
      <rPr>
        <sz val="10"/>
        <color indexed="8"/>
        <rFont val="Malgun Gothic"/>
        <family val="2"/>
      </rPr>
      <t>星</t>
    </r>
  </si>
  <si>
    <r>
      <rPr>
        <sz val="10"/>
        <color indexed="8"/>
        <rFont val="等线"/>
        <family val="3"/>
        <charset val="134"/>
      </rPr>
      <t>郴</t>
    </r>
    <r>
      <rPr>
        <sz val="10"/>
        <color indexed="8"/>
        <rFont val="Malgun Gothic"/>
        <family val="2"/>
      </rPr>
      <t>州市植</t>
    </r>
    <r>
      <rPr>
        <sz val="10"/>
        <color indexed="8"/>
        <rFont val="等线"/>
        <family val="3"/>
        <charset val="134"/>
      </rPr>
      <t>贝尔</t>
    </r>
    <r>
      <rPr>
        <sz val="10"/>
        <color indexed="8"/>
        <rFont val="Malgun Gothic"/>
        <family val="2"/>
      </rPr>
      <t>口腔有限公司</t>
    </r>
  </si>
  <si>
    <r>
      <t>沈</t>
    </r>
    <r>
      <rPr>
        <sz val="10"/>
        <color indexed="8"/>
        <rFont val="等线"/>
        <family val="3"/>
        <charset val="134"/>
      </rPr>
      <t>阳</t>
    </r>
    <r>
      <rPr>
        <sz val="10"/>
        <color indexed="8"/>
        <rFont val="Malgun Gothic"/>
        <family val="2"/>
      </rPr>
      <t>九</t>
    </r>
    <r>
      <rPr>
        <sz val="10"/>
        <color indexed="8"/>
        <rFont val="等线"/>
        <family val="3"/>
        <charset val="134"/>
      </rPr>
      <t>诺</t>
    </r>
  </si>
  <si>
    <r>
      <t>成都</t>
    </r>
    <r>
      <rPr>
        <sz val="10"/>
        <color indexed="8"/>
        <rFont val="等线"/>
        <family val="3"/>
        <charset val="134"/>
      </rPr>
      <t>圣贝</t>
    </r>
  </si>
  <si>
    <r>
      <rPr>
        <sz val="10"/>
        <color indexed="8"/>
        <rFont val="等线"/>
        <family val="3"/>
        <charset val="134"/>
      </rPr>
      <t>宁</t>
    </r>
    <r>
      <rPr>
        <sz val="10"/>
        <color indexed="8"/>
        <rFont val="Malgun Gothic"/>
        <family val="2"/>
      </rPr>
      <t>波德中</t>
    </r>
  </si>
  <si>
    <r>
      <t>成都星</t>
    </r>
    <r>
      <rPr>
        <sz val="10"/>
        <color indexed="8"/>
        <rFont val="等线"/>
        <family val="3"/>
        <charset val="134"/>
      </rPr>
      <t>华</t>
    </r>
    <r>
      <rPr>
        <sz val="10"/>
        <color indexed="8"/>
        <rFont val="Malgun Gothic"/>
        <family val="2"/>
      </rPr>
      <t>美</t>
    </r>
    <r>
      <rPr>
        <sz val="10"/>
        <color indexed="8"/>
        <rFont val="等线"/>
        <family val="3"/>
        <charset val="134"/>
      </rPr>
      <t>电</t>
    </r>
    <r>
      <rPr>
        <sz val="10"/>
        <color indexed="8"/>
        <rFont val="Malgun Gothic"/>
        <family val="2"/>
      </rPr>
      <t>子商</t>
    </r>
    <r>
      <rPr>
        <sz val="10"/>
        <color indexed="8"/>
        <rFont val="等线"/>
        <family val="3"/>
        <charset val="134"/>
      </rPr>
      <t>务</t>
    </r>
    <r>
      <rPr>
        <sz val="10"/>
        <color indexed="8"/>
        <rFont val="Malgun Gothic"/>
        <family val="2"/>
      </rPr>
      <t>有限公司</t>
    </r>
  </si>
  <si>
    <r>
      <t>金海</t>
    </r>
    <r>
      <rPr>
        <sz val="10"/>
        <color indexed="8"/>
        <rFont val="等线"/>
        <family val="3"/>
        <charset val="134"/>
      </rPr>
      <t>莱蒽</t>
    </r>
    <r>
      <rPr>
        <sz val="10"/>
        <color indexed="8"/>
        <rFont val="Malgun Gothic"/>
        <family val="2"/>
      </rPr>
      <t>1</t>
    </r>
  </si>
  <si>
    <r>
      <t>赤峰圭</t>
    </r>
    <r>
      <rPr>
        <sz val="10"/>
        <color indexed="8"/>
        <rFont val="等线"/>
        <family val="3"/>
        <charset val="134"/>
      </rPr>
      <t>玺医疗</t>
    </r>
    <r>
      <rPr>
        <sz val="10"/>
        <color indexed="8"/>
        <rFont val="Malgun Gothic"/>
        <family val="2"/>
      </rPr>
      <t>器械有限公司</t>
    </r>
  </si>
  <si>
    <r>
      <t>大</t>
    </r>
    <r>
      <rPr>
        <sz val="10"/>
        <color indexed="8"/>
        <rFont val="等线"/>
        <family val="3"/>
        <charset val="134"/>
      </rPr>
      <t>厂</t>
    </r>
    <r>
      <rPr>
        <sz val="10"/>
        <color indexed="8"/>
        <rFont val="Malgun Gothic"/>
        <family val="2"/>
      </rPr>
      <t>立康</t>
    </r>
  </si>
  <si>
    <r>
      <t>南京舜禾</t>
    </r>
    <r>
      <rPr>
        <sz val="10"/>
        <color indexed="8"/>
        <rFont val="等线"/>
        <family val="3"/>
        <charset val="134"/>
      </rPr>
      <t>贸</t>
    </r>
    <r>
      <rPr>
        <sz val="10"/>
        <color indexed="8"/>
        <rFont val="Malgun Gothic"/>
        <family val="2"/>
      </rPr>
      <t>易有限公司</t>
    </r>
  </si>
  <si>
    <r>
      <t>大</t>
    </r>
    <r>
      <rPr>
        <sz val="10"/>
        <color indexed="8"/>
        <rFont val="等线"/>
        <family val="3"/>
        <charset val="134"/>
      </rPr>
      <t>庆医</t>
    </r>
    <r>
      <rPr>
        <sz val="10"/>
        <color indexed="8"/>
        <rFont val="Malgun Gothic"/>
        <family val="2"/>
      </rPr>
      <t>大</t>
    </r>
  </si>
  <si>
    <r>
      <rPr>
        <sz val="10"/>
        <color indexed="8"/>
        <rFont val="等线"/>
        <family val="3"/>
        <charset val="134"/>
      </rPr>
      <t>温</t>
    </r>
    <r>
      <rPr>
        <sz val="10"/>
        <color indexed="8"/>
        <rFont val="Malgun Gothic"/>
        <family val="2"/>
      </rPr>
      <t>州一</t>
    </r>
    <r>
      <rPr>
        <sz val="10"/>
        <color indexed="8"/>
        <rFont val="等线"/>
        <family val="3"/>
        <charset val="134"/>
      </rPr>
      <t>诺</t>
    </r>
  </si>
  <si>
    <r>
      <t>德</t>
    </r>
    <r>
      <rPr>
        <sz val="10"/>
        <color indexed="8"/>
        <rFont val="等线"/>
        <family val="3"/>
        <charset val="134"/>
      </rPr>
      <t>贝</t>
    </r>
    <r>
      <rPr>
        <sz val="10"/>
        <color indexed="8"/>
        <rFont val="Malgun Gothic"/>
        <family val="2"/>
      </rPr>
      <t>美</t>
    </r>
  </si>
  <si>
    <r>
      <t>无</t>
    </r>
    <r>
      <rPr>
        <sz val="10"/>
        <color indexed="8"/>
        <rFont val="等线"/>
        <family val="3"/>
        <charset val="134"/>
      </rPr>
      <t>锡爱</t>
    </r>
    <r>
      <rPr>
        <sz val="10"/>
        <color indexed="8"/>
        <rFont val="Malgun Gothic"/>
        <family val="2"/>
      </rPr>
      <t>牙</t>
    </r>
  </si>
  <si>
    <r>
      <rPr>
        <sz val="10"/>
        <color indexed="8"/>
        <rFont val="等线"/>
        <family val="3"/>
        <charset val="134"/>
      </rPr>
      <t>宁</t>
    </r>
    <r>
      <rPr>
        <sz val="10"/>
        <color indexed="8"/>
        <rFont val="Malgun Gothic"/>
        <family val="2"/>
      </rPr>
      <t>波</t>
    </r>
    <r>
      <rPr>
        <sz val="10"/>
        <color indexed="8"/>
        <rFont val="等线"/>
        <family val="3"/>
        <charset val="134"/>
      </rPr>
      <t>诚</t>
    </r>
    <r>
      <rPr>
        <sz val="10"/>
        <color indexed="8"/>
        <rFont val="Malgun Gothic"/>
        <family val="2"/>
      </rPr>
      <t>适</t>
    </r>
  </si>
  <si>
    <r>
      <rPr>
        <sz val="10"/>
        <color indexed="8"/>
        <rFont val="等线"/>
        <family val="3"/>
        <charset val="134"/>
      </rPr>
      <t>东</t>
    </r>
    <r>
      <rPr>
        <sz val="10"/>
        <color indexed="8"/>
        <rFont val="Malgun Gothic"/>
        <family val="2"/>
      </rPr>
      <t>莞</t>
    </r>
    <r>
      <rPr>
        <sz val="10"/>
        <color indexed="8"/>
        <rFont val="等线"/>
        <family val="3"/>
        <charset val="134"/>
      </rPr>
      <t>东</t>
    </r>
    <r>
      <rPr>
        <sz val="10"/>
        <color indexed="8"/>
        <rFont val="Malgun Gothic"/>
        <family val="2"/>
      </rPr>
      <t>城百花2</t>
    </r>
  </si>
  <si>
    <r>
      <t>无</t>
    </r>
    <r>
      <rPr>
        <sz val="10"/>
        <color indexed="8"/>
        <rFont val="等线"/>
        <family val="3"/>
        <charset val="134"/>
      </rPr>
      <t>锡</t>
    </r>
    <r>
      <rPr>
        <sz val="10"/>
        <color indexed="8"/>
        <rFont val="Malgun Gothic"/>
        <family val="2"/>
      </rPr>
      <t>佳士</t>
    </r>
    <r>
      <rPr>
        <sz val="10"/>
        <color indexed="8"/>
        <rFont val="等线"/>
        <family val="3"/>
        <charset val="134"/>
      </rPr>
      <t>洁</t>
    </r>
  </si>
  <si>
    <r>
      <t>武</t>
    </r>
    <r>
      <rPr>
        <sz val="10"/>
        <color indexed="8"/>
        <rFont val="等线"/>
        <family val="3"/>
        <charset val="134"/>
      </rPr>
      <t>汉</t>
    </r>
    <r>
      <rPr>
        <sz val="10"/>
        <color indexed="8"/>
        <rFont val="Malgun Gothic"/>
        <family val="2"/>
      </rPr>
      <t>中泰</t>
    </r>
    <r>
      <rPr>
        <sz val="10"/>
        <color indexed="8"/>
        <rFont val="等线"/>
        <family val="3"/>
        <charset val="134"/>
      </rPr>
      <t>医疗</t>
    </r>
    <r>
      <rPr>
        <sz val="10"/>
        <color indexed="8"/>
        <rFont val="Malgun Gothic"/>
        <family val="2"/>
      </rPr>
      <t>器械有限公司</t>
    </r>
  </si>
  <si>
    <r>
      <t>福州海</t>
    </r>
    <r>
      <rPr>
        <sz val="10"/>
        <color indexed="8"/>
        <rFont val="等线"/>
        <family val="3"/>
        <charset val="134"/>
      </rPr>
      <t>峡</t>
    </r>
  </si>
  <si>
    <r>
      <t>康美</t>
    </r>
    <r>
      <rPr>
        <sz val="10"/>
        <color indexed="8"/>
        <rFont val="等线"/>
        <family val="3"/>
        <charset val="134"/>
      </rPr>
      <t>尚</t>
    </r>
    <r>
      <rPr>
        <sz val="10"/>
        <color indexed="8"/>
        <rFont val="Malgun Gothic"/>
        <family val="2"/>
      </rPr>
      <t>（</t>
    </r>
    <r>
      <rPr>
        <sz val="10"/>
        <color indexed="8"/>
        <rFont val="等线"/>
        <family val="3"/>
        <charset val="134"/>
      </rPr>
      <t>广</t>
    </r>
    <r>
      <rPr>
        <sz val="10"/>
        <color indexed="8"/>
        <rFont val="Malgun Gothic"/>
        <family val="2"/>
      </rPr>
      <t>州德</t>
    </r>
    <r>
      <rPr>
        <sz val="10"/>
        <color indexed="8"/>
        <rFont val="等线"/>
        <family val="3"/>
        <charset val="134"/>
      </rPr>
      <t>伦</t>
    </r>
    <r>
      <rPr>
        <sz val="10"/>
        <color indexed="8"/>
        <rFont val="Malgun Gothic"/>
        <family val="2"/>
      </rPr>
      <t>）</t>
    </r>
  </si>
  <si>
    <r>
      <t>无</t>
    </r>
    <r>
      <rPr>
        <sz val="10"/>
        <color indexed="8"/>
        <rFont val="等线"/>
        <family val="3"/>
        <charset val="134"/>
      </rPr>
      <t>锡贝壳</t>
    </r>
  </si>
  <si>
    <r>
      <rPr>
        <sz val="10"/>
        <color indexed="8"/>
        <rFont val="等线"/>
        <family val="3"/>
        <charset val="134"/>
      </rPr>
      <t>广</t>
    </r>
    <r>
      <rPr>
        <sz val="10"/>
        <color indexed="8"/>
        <rFont val="Malgun Gothic"/>
        <family val="2"/>
      </rPr>
      <t>安</t>
    </r>
    <r>
      <rPr>
        <sz val="10"/>
        <color indexed="8"/>
        <rFont val="等线"/>
        <family val="3"/>
        <charset val="134"/>
      </rPr>
      <t>医贸</t>
    </r>
    <r>
      <rPr>
        <sz val="10"/>
        <color indexed="8"/>
        <rFont val="Malgun Gothic"/>
        <family val="2"/>
      </rPr>
      <t>惠</t>
    </r>
    <r>
      <rPr>
        <sz val="10"/>
        <color indexed="8"/>
        <rFont val="等线"/>
        <family val="3"/>
        <charset val="134"/>
      </rPr>
      <t>众药业</t>
    </r>
    <r>
      <rPr>
        <sz val="10"/>
        <color indexed="8"/>
        <rFont val="Malgun Gothic"/>
        <family val="2"/>
      </rPr>
      <t>有限公司</t>
    </r>
  </si>
  <si>
    <r>
      <t>南京和裕</t>
    </r>
    <r>
      <rPr>
        <sz val="10"/>
        <color indexed="8"/>
        <rFont val="等线"/>
        <family val="3"/>
        <charset val="134"/>
      </rPr>
      <t>医疗</t>
    </r>
    <r>
      <rPr>
        <sz val="10"/>
        <color indexed="8"/>
        <rFont val="Malgun Gothic"/>
        <family val="2"/>
      </rPr>
      <t>器械有限公司1</t>
    </r>
  </si>
  <si>
    <r>
      <rPr>
        <sz val="10"/>
        <color indexed="8"/>
        <rFont val="等线"/>
        <family val="3"/>
        <charset val="134"/>
      </rPr>
      <t>贵</t>
    </r>
    <r>
      <rPr>
        <sz val="10"/>
        <color indexed="8"/>
        <rFont val="Malgun Gothic"/>
        <family val="2"/>
      </rPr>
      <t>州美索斯科技有限公司</t>
    </r>
    <phoneticPr fontId="19" type="noConversion"/>
  </si>
  <si>
    <r>
      <t>宜</t>
    </r>
    <r>
      <rPr>
        <sz val="10"/>
        <color indexed="8"/>
        <rFont val="等线"/>
        <family val="3"/>
        <charset val="134"/>
      </rPr>
      <t>兴</t>
    </r>
    <r>
      <rPr>
        <sz val="10"/>
        <color indexed="8"/>
        <rFont val="Malgun Gothic"/>
        <family val="2"/>
      </rPr>
      <t>口腔</t>
    </r>
  </si>
  <si>
    <r>
      <rPr>
        <sz val="10"/>
        <color indexed="8"/>
        <rFont val="等线"/>
        <family val="3"/>
        <charset val="134"/>
      </rPr>
      <t>扬</t>
    </r>
    <r>
      <rPr>
        <sz val="10"/>
        <color indexed="8"/>
        <rFont val="Malgun Gothic"/>
        <family val="2"/>
      </rPr>
      <t>州</t>
    </r>
    <r>
      <rPr>
        <sz val="10"/>
        <color indexed="8"/>
        <rFont val="等线"/>
        <family val="3"/>
        <charset val="134"/>
      </rPr>
      <t>贝</t>
    </r>
    <r>
      <rPr>
        <sz val="10"/>
        <color indexed="8"/>
        <rFont val="Malgun Gothic"/>
        <family val="2"/>
      </rPr>
      <t>恩</t>
    </r>
  </si>
  <si>
    <r>
      <rPr>
        <sz val="10"/>
        <color indexed="8"/>
        <rFont val="等线"/>
        <family val="3"/>
        <charset val="134"/>
      </rPr>
      <t>长</t>
    </r>
    <r>
      <rPr>
        <sz val="10"/>
        <color indexed="8"/>
        <rFont val="Malgun Gothic"/>
        <family val="2"/>
      </rPr>
      <t>春</t>
    </r>
    <r>
      <rPr>
        <sz val="10"/>
        <color indexed="8"/>
        <rFont val="等线"/>
        <family val="3"/>
        <charset val="134"/>
      </rPr>
      <t>陈</t>
    </r>
    <r>
      <rPr>
        <sz val="10"/>
        <color indexed="8"/>
        <rFont val="Malgun Gothic"/>
        <family val="2"/>
      </rPr>
      <t>北松</t>
    </r>
  </si>
  <si>
    <r>
      <t>杭州亮</t>
    </r>
    <r>
      <rPr>
        <sz val="10"/>
        <color indexed="8"/>
        <rFont val="等线"/>
        <family val="3"/>
        <charset val="134"/>
      </rPr>
      <t>贝</t>
    </r>
    <r>
      <rPr>
        <sz val="10"/>
        <color indexed="8"/>
        <rFont val="Malgun Gothic"/>
        <family val="2"/>
      </rPr>
      <t>美口腔</t>
    </r>
    <r>
      <rPr>
        <sz val="10"/>
        <color indexed="8"/>
        <rFont val="等线"/>
        <family val="3"/>
        <charset val="134"/>
      </rPr>
      <t>连锁</t>
    </r>
  </si>
  <si>
    <r>
      <rPr>
        <sz val="10"/>
        <color indexed="8"/>
        <rFont val="等线"/>
        <family val="3"/>
        <charset val="134"/>
      </rPr>
      <t>辽宁</t>
    </r>
    <r>
      <rPr>
        <sz val="10"/>
        <color indexed="8"/>
        <rFont val="Malgun Gothic"/>
        <family val="2"/>
      </rPr>
      <t>鼎冠</t>
    </r>
    <r>
      <rPr>
        <sz val="10"/>
        <color indexed="8"/>
        <rFont val="等线"/>
        <family val="3"/>
        <charset val="134"/>
      </rPr>
      <t>义齿</t>
    </r>
    <r>
      <rPr>
        <sz val="10"/>
        <color indexed="8"/>
        <rFont val="Malgun Gothic"/>
        <family val="2"/>
      </rPr>
      <t>科技有限公司</t>
    </r>
  </si>
  <si>
    <r>
      <t>杭州品</t>
    </r>
    <r>
      <rPr>
        <sz val="10"/>
        <color indexed="8"/>
        <rFont val="等线"/>
        <family val="3"/>
        <charset val="134"/>
      </rPr>
      <t>凯</t>
    </r>
  </si>
  <si>
    <r>
      <t>杭州望江</t>
    </r>
    <r>
      <rPr>
        <sz val="10"/>
        <color indexed="8"/>
        <rFont val="等线"/>
        <family val="3"/>
        <charset val="134"/>
      </rPr>
      <t>门</t>
    </r>
  </si>
  <si>
    <r>
      <t>南京金</t>
    </r>
    <r>
      <rPr>
        <sz val="10"/>
        <color indexed="8"/>
        <rFont val="等线"/>
        <family val="3"/>
        <charset val="134"/>
      </rPr>
      <t>铂</t>
    </r>
    <r>
      <rPr>
        <sz val="10"/>
        <color indexed="8"/>
        <rFont val="Malgun Gothic"/>
        <family val="2"/>
      </rPr>
      <t>利</t>
    </r>
  </si>
  <si>
    <r>
      <t>南京新</t>
    </r>
    <r>
      <rPr>
        <sz val="10"/>
        <color indexed="8"/>
        <rFont val="等线"/>
        <family val="3"/>
        <charset val="134"/>
      </rPr>
      <t>亚医疗</t>
    </r>
    <r>
      <rPr>
        <sz val="10"/>
        <color indexed="8"/>
        <rFont val="Malgun Gothic"/>
        <family val="2"/>
      </rPr>
      <t>器械有限公司1</t>
    </r>
  </si>
  <si>
    <r>
      <rPr>
        <sz val="10"/>
        <color indexed="8"/>
        <rFont val="等线"/>
        <family val="3"/>
        <charset val="134"/>
      </rPr>
      <t>清镇</t>
    </r>
    <r>
      <rPr>
        <sz val="10"/>
        <color indexed="8"/>
        <rFont val="Malgun Gothic"/>
        <family val="2"/>
      </rPr>
      <t>牙博仕</t>
    </r>
  </si>
  <si>
    <r>
      <rPr>
        <sz val="10"/>
        <color indexed="8"/>
        <rFont val="等线"/>
        <family val="3"/>
        <charset val="134"/>
      </rPr>
      <t>绍兴</t>
    </r>
    <r>
      <rPr>
        <sz val="10"/>
        <color indexed="8"/>
        <rFont val="Malgun Gothic"/>
        <family val="2"/>
      </rPr>
      <t>京</t>
    </r>
    <r>
      <rPr>
        <sz val="10"/>
        <color indexed="8"/>
        <rFont val="等线"/>
        <family val="3"/>
        <charset val="134"/>
      </rPr>
      <t>韩</t>
    </r>
  </si>
  <si>
    <r>
      <t>合肥</t>
    </r>
    <r>
      <rPr>
        <sz val="10"/>
        <color indexed="8"/>
        <rFont val="等线"/>
        <family val="3"/>
        <charset val="134"/>
      </rPr>
      <t>数</t>
    </r>
    <r>
      <rPr>
        <sz val="10"/>
        <color indexed="8"/>
        <rFont val="Malgun Gothic"/>
        <family val="2"/>
      </rPr>
      <t>智</t>
    </r>
    <r>
      <rPr>
        <sz val="10"/>
        <color indexed="8"/>
        <rFont val="等线"/>
        <family val="3"/>
        <charset val="134"/>
      </rPr>
      <t>医疗</t>
    </r>
    <r>
      <rPr>
        <sz val="10"/>
        <color indexed="8"/>
        <rFont val="Malgun Gothic"/>
        <family val="2"/>
      </rPr>
      <t>管理有限公司</t>
    </r>
  </si>
  <si>
    <r>
      <t>湖北</t>
    </r>
    <r>
      <rPr>
        <sz val="10"/>
        <color indexed="8"/>
        <rFont val="等线"/>
        <family val="3"/>
        <charset val="134"/>
      </rPr>
      <t>华</t>
    </r>
    <r>
      <rPr>
        <sz val="10"/>
        <color indexed="8"/>
        <rFont val="Malgun Gothic"/>
        <family val="2"/>
      </rPr>
      <t>玉</t>
    </r>
  </si>
  <si>
    <r>
      <t>吉林</t>
    </r>
    <r>
      <rPr>
        <sz val="10"/>
        <color indexed="8"/>
        <rFont val="等线"/>
        <family val="3"/>
        <charset val="134"/>
      </rPr>
      <t>爱齿</t>
    </r>
  </si>
  <si>
    <r>
      <t>湖州伊雅</t>
    </r>
    <r>
      <rPr>
        <sz val="10"/>
        <color indexed="8"/>
        <rFont val="等线"/>
        <family val="3"/>
        <charset val="134"/>
      </rPr>
      <t>医疗</t>
    </r>
    <r>
      <rPr>
        <sz val="10"/>
        <color indexed="8"/>
        <rFont val="Malgun Gothic"/>
        <family val="2"/>
      </rPr>
      <t>器械有限公司</t>
    </r>
  </si>
  <si>
    <r>
      <rPr>
        <sz val="10"/>
        <color indexed="8"/>
        <rFont val="等线"/>
        <family val="3"/>
        <charset val="134"/>
      </rPr>
      <t>宁</t>
    </r>
    <r>
      <rPr>
        <sz val="10"/>
        <color indexed="8"/>
        <rFont val="Malgun Gothic"/>
        <family val="2"/>
      </rPr>
      <t>波牙博士1</t>
    </r>
  </si>
  <si>
    <r>
      <t>瑞</t>
    </r>
    <r>
      <rPr>
        <sz val="10"/>
        <color indexed="8"/>
        <rFont val="等线"/>
        <family val="3"/>
        <charset val="134"/>
      </rPr>
      <t>珒</t>
    </r>
    <r>
      <rPr>
        <sz val="10"/>
        <color indexed="8"/>
        <rFont val="Malgun Gothic"/>
        <family val="2"/>
      </rPr>
      <t>集</t>
    </r>
    <r>
      <rPr>
        <sz val="10"/>
        <color indexed="8"/>
        <rFont val="等线"/>
        <family val="3"/>
        <charset val="134"/>
      </rPr>
      <t>团</t>
    </r>
  </si>
  <si>
    <r>
      <t>上海健曜</t>
    </r>
    <r>
      <rPr>
        <sz val="10"/>
        <color indexed="8"/>
        <rFont val="等线"/>
        <family val="3"/>
        <charset val="134"/>
      </rPr>
      <t>医疗</t>
    </r>
    <r>
      <rPr>
        <sz val="10"/>
        <color indexed="8"/>
        <rFont val="Malgun Gothic"/>
        <family val="2"/>
      </rPr>
      <t>器械有限公司1</t>
    </r>
  </si>
  <si>
    <r>
      <rPr>
        <sz val="10"/>
        <color indexed="8"/>
        <rFont val="等线"/>
        <family val="3"/>
        <charset val="134"/>
      </rPr>
      <t>济</t>
    </r>
    <r>
      <rPr>
        <sz val="10"/>
        <color indexed="8"/>
        <rFont val="Malgun Gothic"/>
        <family val="2"/>
      </rPr>
      <t>南海</t>
    </r>
    <r>
      <rPr>
        <sz val="10"/>
        <color indexed="8"/>
        <rFont val="等线"/>
        <family val="3"/>
        <charset val="134"/>
      </rPr>
      <t>诺</t>
    </r>
    <r>
      <rPr>
        <sz val="10"/>
        <color indexed="8"/>
        <rFont val="Malgun Gothic"/>
        <family val="2"/>
      </rPr>
      <t>健康科技有限公司</t>
    </r>
  </si>
  <si>
    <r>
      <t>中</t>
    </r>
    <r>
      <rPr>
        <sz val="10"/>
        <color indexed="8"/>
        <rFont val="等线"/>
        <family val="3"/>
        <charset val="134"/>
      </rPr>
      <t>诺</t>
    </r>
    <r>
      <rPr>
        <sz val="10"/>
        <color indexed="8"/>
        <rFont val="Malgun Gothic"/>
        <family val="2"/>
      </rPr>
      <t>集</t>
    </r>
    <r>
      <rPr>
        <sz val="10"/>
        <color indexed="8"/>
        <rFont val="等线"/>
        <family val="3"/>
        <charset val="134"/>
      </rPr>
      <t>团</t>
    </r>
    <r>
      <rPr>
        <sz val="10"/>
        <color indexed="8"/>
        <rFont val="Malgun Gothic"/>
        <family val="2"/>
      </rPr>
      <t>2</t>
    </r>
  </si>
  <si>
    <r>
      <t>嘉</t>
    </r>
    <r>
      <rPr>
        <sz val="10"/>
        <color indexed="8"/>
        <rFont val="等线"/>
        <family val="3"/>
        <charset val="134"/>
      </rPr>
      <t>兴</t>
    </r>
    <r>
      <rPr>
        <sz val="10"/>
        <color indexed="8"/>
        <rFont val="Malgun Gothic"/>
        <family val="2"/>
      </rPr>
      <t>雅</t>
    </r>
    <r>
      <rPr>
        <sz val="10"/>
        <color indexed="8"/>
        <rFont val="等线"/>
        <family val="3"/>
        <charset val="134"/>
      </rPr>
      <t>贝</t>
    </r>
    <r>
      <rPr>
        <sz val="10"/>
        <color indexed="8"/>
        <rFont val="Malgun Gothic"/>
        <family val="2"/>
      </rPr>
      <t>恩口腔</t>
    </r>
    <r>
      <rPr>
        <sz val="10"/>
        <color indexed="8"/>
        <rFont val="等线"/>
        <family val="3"/>
        <charset val="134"/>
      </rPr>
      <t>连锁</t>
    </r>
  </si>
  <si>
    <r>
      <t>江</t>
    </r>
    <r>
      <rPr>
        <sz val="10"/>
        <color indexed="8"/>
        <rFont val="等线"/>
        <family val="3"/>
        <charset val="134"/>
      </rPr>
      <t>门</t>
    </r>
    <r>
      <rPr>
        <sz val="10"/>
        <color indexed="8"/>
        <rFont val="Malgun Gothic"/>
        <family val="2"/>
      </rPr>
      <t>市健森</t>
    </r>
    <r>
      <rPr>
        <sz val="10"/>
        <color indexed="8"/>
        <rFont val="等线"/>
        <family val="3"/>
        <charset val="134"/>
      </rPr>
      <t>医疗</t>
    </r>
    <r>
      <rPr>
        <sz val="10"/>
        <color indexed="8"/>
        <rFont val="Malgun Gothic"/>
        <family val="2"/>
      </rPr>
      <t>器械有限公司</t>
    </r>
  </si>
  <si>
    <r>
      <t>江</t>
    </r>
    <r>
      <rPr>
        <sz val="10"/>
        <color indexed="8"/>
        <rFont val="等线"/>
        <family val="3"/>
        <charset val="134"/>
      </rPr>
      <t>苏</t>
    </r>
    <r>
      <rPr>
        <sz val="10"/>
        <color indexed="8"/>
        <rFont val="Malgun Gothic"/>
        <family val="2"/>
      </rPr>
      <t>博</t>
    </r>
    <r>
      <rPr>
        <sz val="10"/>
        <color indexed="8"/>
        <rFont val="等线"/>
        <family val="3"/>
        <charset val="134"/>
      </rPr>
      <t>伢</t>
    </r>
    <r>
      <rPr>
        <sz val="10"/>
        <color indexed="8"/>
        <rFont val="Malgun Gothic"/>
        <family val="2"/>
      </rPr>
      <t>(南京</t>
    </r>
    <r>
      <rPr>
        <sz val="10"/>
        <color indexed="8"/>
        <rFont val="等线"/>
        <family val="3"/>
        <charset val="134"/>
      </rPr>
      <t>茀莱</t>
    </r>
    <r>
      <rPr>
        <sz val="10"/>
        <color indexed="8"/>
        <rFont val="Malgun Gothic"/>
        <family val="2"/>
      </rPr>
      <t>堡口腔</t>
    </r>
    <r>
      <rPr>
        <sz val="10"/>
        <color indexed="8"/>
        <rFont val="等线"/>
        <family val="3"/>
        <charset val="134"/>
      </rPr>
      <t>医</t>
    </r>
    <r>
      <rPr>
        <sz val="10"/>
        <color indexed="8"/>
        <rFont val="Malgun Gothic"/>
        <family val="2"/>
      </rPr>
      <t>院)</t>
    </r>
  </si>
  <si>
    <r>
      <t>天津市河西北一口腔</t>
    </r>
    <r>
      <rPr>
        <sz val="10"/>
        <color indexed="8"/>
        <rFont val="等线"/>
        <family val="3"/>
        <charset val="134"/>
      </rPr>
      <t>门诊</t>
    </r>
    <r>
      <rPr>
        <sz val="10"/>
        <color indexed="8"/>
        <rFont val="Malgun Gothic"/>
        <family val="2"/>
      </rPr>
      <t>有限公司</t>
    </r>
  </si>
  <si>
    <r>
      <t>江</t>
    </r>
    <r>
      <rPr>
        <sz val="10"/>
        <color indexed="8"/>
        <rFont val="等线"/>
        <family val="3"/>
        <charset val="134"/>
      </rPr>
      <t>苏沪</t>
    </r>
    <r>
      <rPr>
        <sz val="10"/>
        <color indexed="8"/>
        <rFont val="Malgun Gothic"/>
        <family val="2"/>
      </rPr>
      <t>牙</t>
    </r>
    <r>
      <rPr>
        <sz val="10"/>
        <color indexed="8"/>
        <rFont val="等线"/>
        <family val="3"/>
        <charset val="134"/>
      </rPr>
      <t>卫</t>
    </r>
    <r>
      <rPr>
        <sz val="10"/>
        <color indexed="8"/>
        <rFont val="Malgun Gothic"/>
        <family val="2"/>
      </rPr>
      <t>士</t>
    </r>
    <r>
      <rPr>
        <sz val="10"/>
        <color indexed="8"/>
        <rFont val="等线"/>
        <family val="3"/>
        <charset val="134"/>
      </rPr>
      <t>医疗</t>
    </r>
    <r>
      <rPr>
        <sz val="10"/>
        <color indexed="8"/>
        <rFont val="Malgun Gothic"/>
        <family val="2"/>
      </rPr>
      <t>器械有限公司</t>
    </r>
  </si>
  <si>
    <r>
      <rPr>
        <sz val="10"/>
        <color indexed="8"/>
        <rFont val="等线"/>
        <family val="3"/>
        <charset val="134"/>
      </rPr>
      <t>长</t>
    </r>
    <r>
      <rPr>
        <sz val="10"/>
        <color indexed="8"/>
        <rFont val="Malgun Gothic"/>
        <family val="2"/>
      </rPr>
      <t>沙雅</t>
    </r>
    <r>
      <rPr>
        <sz val="10"/>
        <color indexed="8"/>
        <rFont val="等线"/>
        <family val="3"/>
        <charset val="134"/>
      </rPr>
      <t>贝</t>
    </r>
    <r>
      <rPr>
        <sz val="10"/>
        <color indexed="8"/>
        <rFont val="Malgun Gothic"/>
        <family val="2"/>
      </rPr>
      <t>康</t>
    </r>
  </si>
  <si>
    <r>
      <t>江西</t>
    </r>
    <r>
      <rPr>
        <sz val="10"/>
        <color indexed="8"/>
        <rFont val="等线"/>
        <family val="3"/>
        <charset val="134"/>
      </rPr>
      <t>贝尔医疗</t>
    </r>
    <r>
      <rPr>
        <sz val="10"/>
        <color indexed="8"/>
        <rFont val="Malgun Gothic"/>
        <family val="2"/>
      </rPr>
      <t>科技有限公司</t>
    </r>
  </si>
  <si>
    <r>
      <t>金海</t>
    </r>
    <r>
      <rPr>
        <sz val="10"/>
        <color indexed="8"/>
        <rFont val="等线"/>
        <family val="3"/>
        <charset val="134"/>
      </rPr>
      <t>莱蒽</t>
    </r>
    <r>
      <rPr>
        <sz val="10"/>
        <color indexed="8"/>
        <rFont val="Malgun Gothic"/>
        <family val="2"/>
      </rPr>
      <t>2</t>
    </r>
  </si>
  <si>
    <r>
      <t>太原</t>
    </r>
    <r>
      <rPr>
        <sz val="10"/>
        <color indexed="8"/>
        <rFont val="等线"/>
        <family val="3"/>
        <charset val="134"/>
      </rPr>
      <t>环</t>
    </r>
    <r>
      <rPr>
        <sz val="10"/>
        <color indexed="8"/>
        <rFont val="Malgun Gothic"/>
        <family val="2"/>
      </rPr>
      <t>中</t>
    </r>
  </si>
  <si>
    <r>
      <t>金</t>
    </r>
    <r>
      <rPr>
        <sz val="10"/>
        <color indexed="8"/>
        <rFont val="等线"/>
        <family val="3"/>
        <charset val="134"/>
      </rPr>
      <t>华</t>
    </r>
    <r>
      <rPr>
        <sz val="10"/>
        <color indexed="8"/>
        <rFont val="Malgun Gothic"/>
        <family val="2"/>
      </rPr>
      <t>博瑞迪</t>
    </r>
    <r>
      <rPr>
        <sz val="10"/>
        <color indexed="8"/>
        <rFont val="等线"/>
        <family val="3"/>
        <charset val="134"/>
      </rPr>
      <t>医疗</t>
    </r>
  </si>
  <si>
    <r>
      <t>上海</t>
    </r>
    <r>
      <rPr>
        <sz val="10"/>
        <color indexed="8"/>
        <rFont val="等线"/>
        <family val="3"/>
        <charset val="134"/>
      </rPr>
      <t>华尔</t>
    </r>
    <r>
      <rPr>
        <sz val="10"/>
        <color indexed="8"/>
        <rFont val="Malgun Gothic"/>
        <family val="2"/>
      </rPr>
      <t>康新科</t>
    </r>
    <r>
      <rPr>
        <sz val="10"/>
        <color indexed="8"/>
        <rFont val="等线"/>
        <family val="3"/>
        <charset val="134"/>
      </rPr>
      <t>医疗</t>
    </r>
    <r>
      <rPr>
        <sz val="10"/>
        <color indexed="8"/>
        <rFont val="Malgun Gothic"/>
        <family val="2"/>
      </rPr>
      <t>器械有限公司</t>
    </r>
  </si>
  <si>
    <r>
      <t>金</t>
    </r>
    <r>
      <rPr>
        <sz val="10"/>
        <color indexed="8"/>
        <rFont val="等线"/>
        <family val="3"/>
        <charset val="134"/>
      </rPr>
      <t>华蓝</t>
    </r>
    <r>
      <rPr>
        <sz val="10"/>
        <color indexed="8"/>
        <rFont val="Malgun Gothic"/>
        <family val="2"/>
      </rPr>
      <t>芽口腔</t>
    </r>
    <r>
      <rPr>
        <sz val="10"/>
        <color indexed="8"/>
        <rFont val="等线"/>
        <family val="3"/>
        <charset val="134"/>
      </rPr>
      <t>连锁</t>
    </r>
  </si>
  <si>
    <r>
      <t>上海美</t>
    </r>
    <r>
      <rPr>
        <sz val="10"/>
        <color indexed="8"/>
        <rFont val="等线"/>
        <family val="3"/>
        <charset val="134"/>
      </rPr>
      <t>奥</t>
    </r>
  </si>
  <si>
    <r>
      <t>昆山</t>
    </r>
    <r>
      <rPr>
        <sz val="10"/>
        <color indexed="8"/>
        <rFont val="等线"/>
        <family val="3"/>
        <charset val="134"/>
      </rPr>
      <t>苏迈尔</t>
    </r>
  </si>
  <si>
    <r>
      <t>上海</t>
    </r>
    <r>
      <rPr>
        <sz val="10"/>
        <color indexed="8"/>
        <rFont val="等线"/>
        <family val="3"/>
        <charset val="134"/>
      </rPr>
      <t>维</t>
    </r>
    <r>
      <rPr>
        <sz val="10"/>
        <color indexed="8"/>
        <rFont val="Malgun Gothic"/>
        <family val="2"/>
      </rPr>
      <t>佳康</t>
    </r>
  </si>
  <si>
    <r>
      <rPr>
        <sz val="10"/>
        <color indexed="8"/>
        <rFont val="等线"/>
        <family val="3"/>
        <charset val="134"/>
      </rPr>
      <t>苏</t>
    </r>
    <r>
      <rPr>
        <sz val="10"/>
        <color indexed="8"/>
        <rFont val="Malgun Gothic"/>
        <family val="2"/>
      </rPr>
      <t>州品植</t>
    </r>
  </si>
  <si>
    <r>
      <rPr>
        <sz val="10"/>
        <color indexed="8"/>
        <rFont val="等线"/>
        <family val="3"/>
        <charset val="134"/>
      </rPr>
      <t>宁</t>
    </r>
    <r>
      <rPr>
        <sz val="10"/>
        <color indexed="8"/>
        <rFont val="Malgun Gothic"/>
        <family val="2"/>
      </rPr>
      <t>波甬</t>
    </r>
    <r>
      <rPr>
        <sz val="10"/>
        <color indexed="8"/>
        <rFont val="等线"/>
        <family val="3"/>
        <charset val="134"/>
      </rPr>
      <t>创兴华医疗</t>
    </r>
    <r>
      <rPr>
        <sz val="10"/>
        <color indexed="8"/>
        <rFont val="Malgun Gothic"/>
        <family val="2"/>
      </rPr>
      <t>管理有限公司</t>
    </r>
  </si>
  <si>
    <r>
      <rPr>
        <sz val="10"/>
        <color indexed="8"/>
        <rFont val="等线"/>
        <family val="3"/>
        <charset val="134"/>
      </rPr>
      <t>刘运</t>
    </r>
    <r>
      <rPr>
        <sz val="10"/>
        <color indexed="8"/>
        <rFont val="Malgun Gothic"/>
        <family val="2"/>
      </rPr>
      <t>波集</t>
    </r>
    <r>
      <rPr>
        <sz val="10"/>
        <color indexed="8"/>
        <rFont val="等线"/>
        <family val="3"/>
        <charset val="134"/>
      </rPr>
      <t>团</t>
    </r>
  </si>
  <si>
    <r>
      <t>泉州安格</t>
    </r>
    <r>
      <rPr>
        <sz val="10"/>
        <color indexed="8"/>
        <rFont val="等线"/>
        <family val="3"/>
        <charset val="134"/>
      </rPr>
      <t>尔</t>
    </r>
  </si>
  <si>
    <r>
      <t>隆化</t>
    </r>
    <r>
      <rPr>
        <sz val="10"/>
        <color indexed="8"/>
        <rFont val="等线"/>
        <family val="3"/>
        <charset val="134"/>
      </rPr>
      <t>谢</t>
    </r>
    <r>
      <rPr>
        <sz val="10"/>
        <color indexed="8"/>
        <rFont val="Malgun Gothic"/>
        <family val="2"/>
      </rPr>
      <t>氏</t>
    </r>
    <r>
      <rPr>
        <sz val="10"/>
        <color indexed="8"/>
        <rFont val="等线"/>
        <family val="3"/>
        <charset val="134"/>
      </rPr>
      <t>热</t>
    </r>
    <r>
      <rPr>
        <sz val="10"/>
        <color indexed="8"/>
        <rFont val="Malgun Gothic"/>
        <family val="2"/>
      </rPr>
      <t>河口腔</t>
    </r>
    <r>
      <rPr>
        <sz val="10"/>
        <color indexed="8"/>
        <rFont val="等线"/>
        <family val="3"/>
        <charset val="134"/>
      </rPr>
      <t>门诊</t>
    </r>
    <r>
      <rPr>
        <sz val="10"/>
        <color indexed="8"/>
        <rFont val="Malgun Gothic"/>
        <family val="2"/>
      </rPr>
      <t>部</t>
    </r>
  </si>
  <si>
    <r>
      <t>重</t>
    </r>
    <r>
      <rPr>
        <sz val="10"/>
        <color indexed="8"/>
        <rFont val="等线"/>
        <family val="3"/>
        <charset val="134"/>
      </rPr>
      <t>庆</t>
    </r>
    <r>
      <rPr>
        <sz val="10"/>
        <color indexed="8"/>
        <rFont val="Malgun Gothic"/>
        <family val="2"/>
      </rPr>
      <t>牙博仕</t>
    </r>
  </si>
  <si>
    <r>
      <rPr>
        <sz val="10"/>
        <color indexed="8"/>
        <rFont val="等线"/>
        <family val="3"/>
        <charset val="134"/>
      </rPr>
      <t>马</t>
    </r>
    <r>
      <rPr>
        <sz val="10"/>
        <color indexed="8"/>
        <rFont val="Malgun Gothic"/>
        <family val="2"/>
      </rPr>
      <t>鞍山</t>
    </r>
    <r>
      <rPr>
        <sz val="10"/>
        <color indexed="8"/>
        <rFont val="等线"/>
        <family val="3"/>
        <charset val="134"/>
      </rPr>
      <t>鑫马</t>
    </r>
  </si>
  <si>
    <r>
      <t>梅州</t>
    </r>
    <r>
      <rPr>
        <sz val="10"/>
        <color indexed="8"/>
        <rFont val="等线"/>
        <family val="3"/>
        <charset val="134"/>
      </rPr>
      <t>泽</t>
    </r>
    <r>
      <rPr>
        <sz val="10"/>
        <color indexed="8"/>
        <rFont val="Malgun Gothic"/>
        <family val="2"/>
      </rPr>
      <t>山</t>
    </r>
  </si>
  <si>
    <r>
      <rPr>
        <sz val="10"/>
        <color indexed="8"/>
        <rFont val="等线"/>
        <family val="3"/>
        <charset val="134"/>
      </rPr>
      <t>阳</t>
    </r>
    <r>
      <rPr>
        <sz val="10"/>
        <color indexed="8"/>
        <rFont val="Malgun Gothic"/>
        <family val="2"/>
      </rPr>
      <t>光</t>
    </r>
    <r>
      <rPr>
        <sz val="10"/>
        <color indexed="8"/>
        <rFont val="等线"/>
        <family val="3"/>
        <charset val="134"/>
      </rPr>
      <t>树</t>
    </r>
    <r>
      <rPr>
        <sz val="10"/>
        <color indexed="8"/>
        <rFont val="Malgun Gothic"/>
        <family val="2"/>
      </rPr>
      <t>集</t>
    </r>
    <r>
      <rPr>
        <sz val="10"/>
        <color indexed="8"/>
        <rFont val="等线"/>
        <family val="3"/>
        <charset val="134"/>
      </rPr>
      <t>团</t>
    </r>
  </si>
  <si>
    <r>
      <t>魔都派（上海）</t>
    </r>
    <r>
      <rPr>
        <sz val="10"/>
        <color indexed="8"/>
        <rFont val="等线"/>
        <family val="3"/>
        <charset val="134"/>
      </rPr>
      <t>医疗</t>
    </r>
    <r>
      <rPr>
        <sz val="10"/>
        <color indexed="8"/>
        <rFont val="Malgun Gothic"/>
        <family val="2"/>
      </rPr>
      <t>器械有限公司</t>
    </r>
    <phoneticPr fontId="19" type="noConversion"/>
  </si>
  <si>
    <r>
      <t>陌客</t>
    </r>
    <r>
      <rPr>
        <sz val="10"/>
        <color indexed="8"/>
        <rFont val="等线"/>
        <family val="3"/>
        <charset val="134"/>
      </rPr>
      <t>尔</t>
    </r>
    <r>
      <rPr>
        <sz val="10"/>
        <color indexed="8"/>
        <rFont val="Malgun Gothic"/>
        <family val="2"/>
      </rPr>
      <t>2</t>
    </r>
  </si>
  <si>
    <r>
      <t>无</t>
    </r>
    <r>
      <rPr>
        <sz val="10"/>
        <color indexed="8"/>
        <rFont val="等线"/>
        <family val="3"/>
        <charset val="134"/>
      </rPr>
      <t>锡</t>
    </r>
    <r>
      <rPr>
        <sz val="10"/>
        <color indexed="8"/>
        <rFont val="Malgun Gothic"/>
        <family val="2"/>
      </rPr>
      <t>牙坐</t>
    </r>
    <r>
      <rPr>
        <sz val="10"/>
        <color indexed="8"/>
        <rFont val="等线"/>
        <family val="3"/>
        <charset val="134"/>
      </rPr>
      <t>标</t>
    </r>
  </si>
  <si>
    <r>
      <t>武</t>
    </r>
    <r>
      <rPr>
        <sz val="10"/>
        <color indexed="8"/>
        <rFont val="等线"/>
        <family val="3"/>
        <charset val="134"/>
      </rPr>
      <t>汉</t>
    </r>
    <r>
      <rPr>
        <sz val="10"/>
        <color indexed="8"/>
        <rFont val="Malgun Gothic"/>
        <family val="2"/>
      </rPr>
      <t>德</t>
    </r>
    <r>
      <rPr>
        <sz val="10"/>
        <color indexed="8"/>
        <rFont val="等线"/>
        <family val="3"/>
        <charset val="134"/>
      </rPr>
      <t>亚</t>
    </r>
  </si>
  <si>
    <r>
      <t>南京和裕</t>
    </r>
    <r>
      <rPr>
        <sz val="10"/>
        <color indexed="8"/>
        <rFont val="等线"/>
        <family val="3"/>
        <charset val="134"/>
      </rPr>
      <t>医疗</t>
    </r>
    <r>
      <rPr>
        <sz val="10"/>
        <color indexed="8"/>
        <rFont val="Malgun Gothic"/>
        <family val="2"/>
      </rPr>
      <t>器械有限公司2</t>
    </r>
  </si>
  <si>
    <r>
      <t>南京康</t>
    </r>
    <r>
      <rPr>
        <sz val="10"/>
        <color indexed="8"/>
        <rFont val="等线"/>
        <family val="3"/>
        <charset val="134"/>
      </rPr>
      <t>贝</t>
    </r>
    <r>
      <rPr>
        <sz val="10"/>
        <color indexed="8"/>
        <rFont val="Malgun Gothic"/>
        <family val="2"/>
      </rPr>
      <t>佳</t>
    </r>
  </si>
  <si>
    <r>
      <t>三</t>
    </r>
    <r>
      <rPr>
        <sz val="10"/>
        <color indexed="8"/>
        <rFont val="等线"/>
        <family val="3"/>
        <charset val="134"/>
      </rPr>
      <t>亚</t>
    </r>
    <r>
      <rPr>
        <sz val="10"/>
        <color indexed="8"/>
        <rFont val="Malgun Gothic"/>
        <family val="2"/>
      </rPr>
      <t>微笑口腔</t>
    </r>
    <r>
      <rPr>
        <sz val="10"/>
        <color indexed="8"/>
        <rFont val="等线"/>
        <family val="3"/>
        <charset val="134"/>
      </rPr>
      <t>门诊</t>
    </r>
    <r>
      <rPr>
        <sz val="10"/>
        <color indexed="8"/>
        <rFont val="Malgun Gothic"/>
        <family val="2"/>
      </rPr>
      <t>部</t>
    </r>
  </si>
  <si>
    <r>
      <t>南京</t>
    </r>
    <r>
      <rPr>
        <sz val="10"/>
        <color indexed="8"/>
        <rFont val="等线"/>
        <family val="3"/>
        <charset val="134"/>
      </rPr>
      <t>蓝鲟</t>
    </r>
  </si>
  <si>
    <r>
      <t>汕</t>
    </r>
    <r>
      <rPr>
        <sz val="10"/>
        <color indexed="8"/>
        <rFont val="等线"/>
        <family val="3"/>
        <charset val="134"/>
      </rPr>
      <t>头</t>
    </r>
    <r>
      <rPr>
        <sz val="10"/>
        <color indexed="8"/>
        <rFont val="Malgun Gothic"/>
        <family val="2"/>
      </rPr>
      <t>市</t>
    </r>
    <r>
      <rPr>
        <sz val="10"/>
        <color indexed="8"/>
        <rFont val="等线"/>
        <family val="3"/>
        <charset val="134"/>
      </rPr>
      <t>青</t>
    </r>
    <r>
      <rPr>
        <sz val="10"/>
        <color indexed="8"/>
        <rFont val="Malgun Gothic"/>
        <family val="2"/>
      </rPr>
      <t>年牙博士</t>
    </r>
  </si>
  <si>
    <r>
      <t>上海</t>
    </r>
    <r>
      <rPr>
        <sz val="10"/>
        <color indexed="8"/>
        <rFont val="等线"/>
        <family val="3"/>
        <charset val="134"/>
      </rPr>
      <t>医</t>
    </r>
    <r>
      <rPr>
        <sz val="10"/>
        <color indexed="8"/>
        <rFont val="Malgun Gothic"/>
        <family val="2"/>
      </rPr>
      <t>大</t>
    </r>
  </si>
  <si>
    <r>
      <rPr>
        <sz val="10"/>
        <color indexed="8"/>
        <rFont val="等线"/>
        <family val="3"/>
        <charset val="134"/>
      </rPr>
      <t>郑</t>
    </r>
    <r>
      <rPr>
        <sz val="10"/>
        <color indexed="8"/>
        <rFont val="Malgun Gothic"/>
        <family val="2"/>
      </rPr>
      <t>州臻</t>
    </r>
    <r>
      <rPr>
        <sz val="10"/>
        <color indexed="8"/>
        <rFont val="等线"/>
        <family val="3"/>
        <charset val="134"/>
      </rPr>
      <t>诚医疗</t>
    </r>
    <r>
      <rPr>
        <sz val="10"/>
        <color indexed="8"/>
        <rFont val="Malgun Gothic"/>
        <family val="2"/>
      </rPr>
      <t>科技有限公司</t>
    </r>
  </si>
  <si>
    <r>
      <t>南京新</t>
    </r>
    <r>
      <rPr>
        <sz val="10"/>
        <color indexed="8"/>
        <rFont val="等线"/>
        <family val="3"/>
        <charset val="134"/>
      </rPr>
      <t>亚医疗</t>
    </r>
    <r>
      <rPr>
        <sz val="10"/>
        <color indexed="8"/>
        <rFont val="Malgun Gothic"/>
        <family val="2"/>
      </rPr>
      <t>器械有限公司2</t>
    </r>
  </si>
  <si>
    <r>
      <t>南</t>
    </r>
    <r>
      <rPr>
        <sz val="10"/>
        <color indexed="8"/>
        <rFont val="等线"/>
        <family val="3"/>
        <charset val="134"/>
      </rPr>
      <t>宁</t>
    </r>
    <r>
      <rPr>
        <sz val="10"/>
        <color indexed="8"/>
        <rFont val="Malgun Gothic"/>
        <family val="2"/>
      </rPr>
      <t>牙博士</t>
    </r>
  </si>
  <si>
    <r>
      <rPr>
        <sz val="10"/>
        <color indexed="8"/>
        <rFont val="等线"/>
        <family val="3"/>
        <charset val="134"/>
      </rPr>
      <t>桥</t>
    </r>
    <r>
      <rPr>
        <sz val="10"/>
        <color indexed="8"/>
        <rFont val="Malgun Gothic"/>
        <family val="2"/>
      </rPr>
      <t>水</t>
    </r>
    <r>
      <rPr>
        <sz val="10"/>
        <color indexed="8"/>
        <rFont val="等线"/>
        <family val="3"/>
        <charset val="134"/>
      </rPr>
      <t>医疗</t>
    </r>
    <r>
      <rPr>
        <sz val="10"/>
        <color indexed="8"/>
        <rFont val="Malgun Gothic"/>
        <family val="2"/>
      </rPr>
      <t>(</t>
    </r>
    <r>
      <rPr>
        <sz val="10"/>
        <color indexed="8"/>
        <rFont val="等线"/>
        <family val="3"/>
        <charset val="134"/>
      </rPr>
      <t>启飞</t>
    </r>
    <r>
      <rPr>
        <sz val="10"/>
        <color indexed="8"/>
        <rFont val="Malgun Gothic"/>
        <family val="2"/>
      </rPr>
      <t>口腔)</t>
    </r>
  </si>
  <si>
    <r>
      <rPr>
        <sz val="10"/>
        <color indexed="8"/>
        <rFont val="等线"/>
        <family val="3"/>
        <charset val="134"/>
      </rPr>
      <t>长</t>
    </r>
    <r>
      <rPr>
        <sz val="10"/>
        <color indexed="8"/>
        <rFont val="Malgun Gothic"/>
        <family val="2"/>
      </rPr>
      <t>沙</t>
    </r>
    <r>
      <rPr>
        <sz val="10"/>
        <color indexed="8"/>
        <rFont val="等线"/>
        <family val="3"/>
        <charset val="134"/>
      </rPr>
      <t>优伢</t>
    </r>
    <r>
      <rPr>
        <sz val="10"/>
        <color indexed="8"/>
        <rFont val="Malgun Gothic"/>
        <family val="2"/>
      </rPr>
      <t>仕</t>
    </r>
  </si>
  <si>
    <r>
      <rPr>
        <sz val="10"/>
        <color indexed="8"/>
        <rFont val="等线"/>
        <family val="3"/>
        <charset val="134"/>
      </rPr>
      <t>宁</t>
    </r>
    <r>
      <rPr>
        <sz val="10"/>
        <color indexed="8"/>
        <rFont val="Malgun Gothic"/>
        <family val="2"/>
      </rPr>
      <t>波牙博士2</t>
    </r>
  </si>
  <si>
    <r>
      <t>上海美</t>
    </r>
    <r>
      <rPr>
        <sz val="10"/>
        <color indexed="8"/>
        <rFont val="等线"/>
        <family val="3"/>
        <charset val="134"/>
      </rPr>
      <t>诺</t>
    </r>
  </si>
  <si>
    <r>
      <rPr>
        <sz val="10"/>
        <color indexed="8"/>
        <rFont val="等线"/>
        <family val="3"/>
        <charset val="134"/>
      </rPr>
      <t>迁</t>
    </r>
    <r>
      <rPr>
        <sz val="10"/>
        <color indexed="8"/>
        <rFont val="Malgun Gothic"/>
        <family val="2"/>
      </rPr>
      <t>安雅美</t>
    </r>
  </si>
  <si>
    <r>
      <rPr>
        <sz val="10"/>
        <color indexed="8"/>
        <rFont val="等线"/>
        <family val="3"/>
        <charset val="134"/>
      </rPr>
      <t>青岛</t>
    </r>
    <r>
      <rPr>
        <sz val="10"/>
        <color indexed="8"/>
        <rFont val="Malgun Gothic"/>
        <family val="2"/>
      </rPr>
      <t>柏瑞西</t>
    </r>
    <r>
      <rPr>
        <sz val="10"/>
        <color indexed="8"/>
        <rFont val="等线"/>
        <family val="3"/>
        <charset val="134"/>
      </rPr>
      <t>诺</t>
    </r>
    <r>
      <rPr>
        <sz val="10"/>
        <color indexed="8"/>
        <rFont val="Malgun Gothic"/>
        <family val="2"/>
      </rPr>
      <t>德口腔</t>
    </r>
    <r>
      <rPr>
        <sz val="10"/>
        <color indexed="8"/>
        <rFont val="等线"/>
        <family val="3"/>
        <charset val="134"/>
      </rPr>
      <t>门诊</t>
    </r>
    <r>
      <rPr>
        <sz val="10"/>
        <color indexed="8"/>
        <rFont val="Malgun Gothic"/>
        <family val="2"/>
      </rPr>
      <t>部</t>
    </r>
  </si>
  <si>
    <r>
      <t>武</t>
    </r>
    <r>
      <rPr>
        <sz val="10"/>
        <color indexed="8"/>
        <rFont val="等线"/>
        <family val="3"/>
        <charset val="134"/>
      </rPr>
      <t>汉</t>
    </r>
    <r>
      <rPr>
        <sz val="10"/>
        <color indexed="8"/>
        <rFont val="Malgun Gothic"/>
        <family val="2"/>
      </rPr>
      <t>德派</t>
    </r>
  </si>
  <si>
    <r>
      <rPr>
        <sz val="10"/>
        <color indexed="8"/>
        <rFont val="等线"/>
        <family val="3"/>
        <charset val="134"/>
      </rPr>
      <t>长</t>
    </r>
    <r>
      <rPr>
        <sz val="10"/>
        <color indexed="8"/>
        <rFont val="Malgun Gothic"/>
        <family val="2"/>
      </rPr>
      <t>沙春芽</t>
    </r>
  </si>
  <si>
    <r>
      <t>泉州海</t>
    </r>
    <r>
      <rPr>
        <sz val="10"/>
        <color indexed="8"/>
        <rFont val="等线"/>
        <family val="3"/>
        <charset val="134"/>
      </rPr>
      <t>丝</t>
    </r>
    <r>
      <rPr>
        <sz val="10"/>
        <color indexed="8"/>
        <rFont val="Malgun Gothic"/>
        <family val="2"/>
      </rPr>
      <t>口腔</t>
    </r>
    <r>
      <rPr>
        <sz val="10"/>
        <color indexed="8"/>
        <rFont val="等线"/>
        <family val="3"/>
        <charset val="134"/>
      </rPr>
      <t>医</t>
    </r>
    <r>
      <rPr>
        <sz val="10"/>
        <color indexed="8"/>
        <rFont val="Malgun Gothic"/>
        <family val="2"/>
      </rPr>
      <t>院有限公司</t>
    </r>
  </si>
  <si>
    <r>
      <t>如</t>
    </r>
    <r>
      <rPr>
        <sz val="10"/>
        <color indexed="8"/>
        <rFont val="等线"/>
        <family val="3"/>
        <charset val="134"/>
      </rPr>
      <t>皋</t>
    </r>
    <r>
      <rPr>
        <sz val="10"/>
        <color indexed="8"/>
        <rFont val="Malgun Gothic"/>
        <family val="2"/>
      </rPr>
      <t>牙</t>
    </r>
    <r>
      <rPr>
        <sz val="10"/>
        <color indexed="8"/>
        <rFont val="等线"/>
        <family val="3"/>
        <charset val="134"/>
      </rPr>
      <t>医</t>
    </r>
  </si>
  <si>
    <r>
      <t>永</t>
    </r>
    <r>
      <rPr>
        <sz val="10"/>
        <color indexed="8"/>
        <rFont val="等线"/>
        <family val="3"/>
        <charset val="134"/>
      </rPr>
      <t>齐</t>
    </r>
  </si>
  <si>
    <r>
      <t>徐州正博口腔</t>
    </r>
    <r>
      <rPr>
        <sz val="10"/>
        <color indexed="8"/>
        <rFont val="等线"/>
        <family val="3"/>
        <charset val="134"/>
      </rPr>
      <t>医</t>
    </r>
    <r>
      <rPr>
        <sz val="10"/>
        <color indexed="8"/>
        <rFont val="Malgun Gothic"/>
        <family val="2"/>
      </rPr>
      <t>院有限公司</t>
    </r>
  </si>
  <si>
    <r>
      <t>山</t>
    </r>
    <r>
      <rPr>
        <sz val="10"/>
        <color indexed="8"/>
        <rFont val="等线"/>
        <family val="3"/>
        <charset val="134"/>
      </rPr>
      <t>东</t>
    </r>
    <r>
      <rPr>
        <sz val="10"/>
        <color indexed="8"/>
        <rFont val="Malgun Gothic"/>
        <family val="2"/>
      </rPr>
      <t>通</t>
    </r>
    <r>
      <rPr>
        <sz val="10"/>
        <color indexed="8"/>
        <rFont val="等线"/>
        <family val="3"/>
        <charset val="134"/>
      </rPr>
      <t>汇医疗</t>
    </r>
    <r>
      <rPr>
        <sz val="10"/>
        <color indexed="8"/>
        <rFont val="Malgun Gothic"/>
        <family val="2"/>
      </rPr>
      <t>科技有限公司</t>
    </r>
  </si>
  <si>
    <r>
      <t>武</t>
    </r>
    <r>
      <rPr>
        <sz val="10"/>
        <color indexed="8"/>
        <rFont val="等线"/>
        <family val="3"/>
        <charset val="134"/>
      </rPr>
      <t>汉</t>
    </r>
    <r>
      <rPr>
        <sz val="10"/>
        <color indexed="8"/>
        <rFont val="Malgun Gothic"/>
        <family val="2"/>
      </rPr>
      <t>海柯迪</t>
    </r>
    <r>
      <rPr>
        <sz val="10"/>
        <color indexed="8"/>
        <rFont val="等线"/>
        <family val="3"/>
        <charset val="134"/>
      </rPr>
      <t>医疗</t>
    </r>
    <r>
      <rPr>
        <sz val="10"/>
        <color indexed="8"/>
        <rFont val="Malgun Gothic"/>
        <family val="2"/>
      </rPr>
      <t>器械有限公司</t>
    </r>
  </si>
  <si>
    <r>
      <t>山西</t>
    </r>
    <r>
      <rPr>
        <sz val="10"/>
        <color indexed="8"/>
        <rFont val="等线"/>
        <family val="3"/>
        <charset val="134"/>
      </rPr>
      <t>齿</t>
    </r>
    <r>
      <rPr>
        <sz val="10"/>
        <color indexed="8"/>
        <rFont val="Malgun Gothic"/>
        <family val="2"/>
      </rPr>
      <t>科</t>
    </r>
    <r>
      <rPr>
        <sz val="10"/>
        <color indexed="8"/>
        <rFont val="等线"/>
        <family val="3"/>
        <charset val="134"/>
      </rPr>
      <t>医</t>
    </r>
    <r>
      <rPr>
        <sz val="10"/>
        <color indexed="8"/>
        <rFont val="Malgun Gothic"/>
        <family val="2"/>
      </rPr>
      <t>院</t>
    </r>
  </si>
  <si>
    <r>
      <t>重</t>
    </r>
    <r>
      <rPr>
        <sz val="10"/>
        <color indexed="8"/>
        <rFont val="等线"/>
        <family val="3"/>
        <charset val="134"/>
      </rPr>
      <t>庆欧</t>
    </r>
    <r>
      <rPr>
        <sz val="10"/>
        <color indexed="8"/>
        <rFont val="Malgun Gothic"/>
        <family val="2"/>
      </rPr>
      <t>客</t>
    </r>
    <r>
      <rPr>
        <sz val="10"/>
        <color indexed="8"/>
        <rFont val="等线"/>
        <family val="3"/>
        <charset val="134"/>
      </rPr>
      <t>尔</t>
    </r>
  </si>
  <si>
    <r>
      <t>上海健曜</t>
    </r>
    <r>
      <rPr>
        <sz val="10"/>
        <color indexed="8"/>
        <rFont val="等线"/>
        <family val="3"/>
        <charset val="134"/>
      </rPr>
      <t>医疗</t>
    </r>
    <r>
      <rPr>
        <sz val="10"/>
        <color indexed="8"/>
        <rFont val="Malgun Gothic"/>
        <family val="2"/>
      </rPr>
      <t>器械有限公司2</t>
    </r>
  </si>
  <si>
    <r>
      <t>上海</t>
    </r>
    <r>
      <rPr>
        <sz val="10"/>
        <color indexed="8"/>
        <rFont val="等线"/>
        <family val="3"/>
        <charset val="134"/>
      </rPr>
      <t>龙阖医疗</t>
    </r>
    <r>
      <rPr>
        <sz val="10"/>
        <color indexed="8"/>
        <rFont val="Malgun Gothic"/>
        <family val="2"/>
      </rPr>
      <t>器械科技有限公司</t>
    </r>
  </si>
  <si>
    <r>
      <t>无</t>
    </r>
    <r>
      <rPr>
        <sz val="10"/>
        <color indexed="8"/>
        <rFont val="等线"/>
        <family val="3"/>
        <charset val="134"/>
      </rPr>
      <t>锡</t>
    </r>
    <r>
      <rPr>
        <sz val="10"/>
        <color indexed="8"/>
        <rFont val="Malgun Gothic"/>
        <family val="2"/>
      </rPr>
      <t>金</t>
    </r>
    <r>
      <rPr>
        <sz val="10"/>
        <color indexed="8"/>
        <rFont val="等线"/>
        <family val="3"/>
        <charset val="134"/>
      </rPr>
      <t>汇</t>
    </r>
  </si>
  <si>
    <r>
      <t>西藏恒博</t>
    </r>
    <r>
      <rPr>
        <sz val="10"/>
        <color indexed="8"/>
        <rFont val="等线"/>
        <family val="3"/>
        <charset val="134"/>
      </rPr>
      <t>医疗</t>
    </r>
    <r>
      <rPr>
        <sz val="10"/>
        <color indexed="8"/>
        <rFont val="Malgun Gothic"/>
        <family val="2"/>
      </rPr>
      <t>器械有限</t>
    </r>
    <r>
      <rPr>
        <sz val="10"/>
        <color indexed="8"/>
        <rFont val="等线"/>
        <family val="3"/>
        <charset val="134"/>
      </rPr>
      <t>责</t>
    </r>
    <r>
      <rPr>
        <sz val="10"/>
        <color indexed="8"/>
        <rFont val="Malgun Gothic"/>
        <family val="2"/>
      </rPr>
      <t>任公司</t>
    </r>
  </si>
  <si>
    <r>
      <t>上海西大口腔</t>
    </r>
    <r>
      <rPr>
        <sz val="10"/>
        <color indexed="8"/>
        <rFont val="等线"/>
        <family val="3"/>
        <charset val="134"/>
      </rPr>
      <t>诊</t>
    </r>
    <r>
      <rPr>
        <sz val="10"/>
        <color indexed="8"/>
        <rFont val="Malgun Gothic"/>
        <family val="2"/>
      </rPr>
      <t>所有限公司</t>
    </r>
  </si>
  <si>
    <r>
      <t>上海信智</t>
    </r>
    <r>
      <rPr>
        <sz val="10"/>
        <color indexed="8"/>
        <rFont val="等线"/>
        <family val="3"/>
        <charset val="134"/>
      </rPr>
      <t>医疗</t>
    </r>
    <r>
      <rPr>
        <sz val="10"/>
        <color indexed="8"/>
        <rFont val="Malgun Gothic"/>
        <family val="2"/>
      </rPr>
      <t>器械有限公司</t>
    </r>
  </si>
  <si>
    <r>
      <t>上海伊</t>
    </r>
    <r>
      <rPr>
        <sz val="10"/>
        <color indexed="8"/>
        <rFont val="等线"/>
        <family val="3"/>
        <charset val="134"/>
      </rPr>
      <t>尔</t>
    </r>
    <r>
      <rPr>
        <sz val="10"/>
        <color indexed="8"/>
        <rFont val="Malgun Gothic"/>
        <family val="2"/>
      </rPr>
      <t>意口腔</t>
    </r>
    <r>
      <rPr>
        <sz val="10"/>
        <color indexed="8"/>
        <rFont val="等线"/>
        <family val="3"/>
        <charset val="134"/>
      </rPr>
      <t>门诊</t>
    </r>
    <r>
      <rPr>
        <sz val="10"/>
        <color indexed="8"/>
        <rFont val="Malgun Gothic"/>
        <family val="2"/>
      </rPr>
      <t>部有限公司</t>
    </r>
  </si>
  <si>
    <r>
      <t>四川</t>
    </r>
    <r>
      <rPr>
        <sz val="10"/>
        <color indexed="8"/>
        <rFont val="等线"/>
        <family val="3"/>
        <charset val="134"/>
      </rPr>
      <t>齿</t>
    </r>
    <r>
      <rPr>
        <sz val="10"/>
        <color indexed="8"/>
        <rFont val="Malgun Gothic"/>
        <family val="2"/>
      </rPr>
      <t>康未</t>
    </r>
    <r>
      <rPr>
        <sz val="10"/>
        <color indexed="8"/>
        <rFont val="等线"/>
        <family val="3"/>
        <charset val="134"/>
      </rPr>
      <t>来医疗</t>
    </r>
    <r>
      <rPr>
        <sz val="10"/>
        <color indexed="8"/>
        <rFont val="Malgun Gothic"/>
        <family val="2"/>
      </rPr>
      <t>器械有限公司</t>
    </r>
  </si>
  <si>
    <r>
      <t>深</t>
    </r>
    <r>
      <rPr>
        <sz val="10"/>
        <color indexed="8"/>
        <rFont val="等线"/>
        <family val="3"/>
        <charset val="134"/>
      </rPr>
      <t>圳尔</t>
    </r>
    <r>
      <rPr>
        <sz val="10"/>
        <color indexed="8"/>
        <rFont val="Malgun Gothic"/>
        <family val="2"/>
      </rPr>
      <t>睦</t>
    </r>
    <r>
      <rPr>
        <sz val="10"/>
        <color indexed="8"/>
        <rFont val="等线"/>
        <family val="3"/>
        <charset val="134"/>
      </rPr>
      <t>丽</t>
    </r>
    <r>
      <rPr>
        <sz val="10"/>
        <color indexed="8"/>
        <rFont val="Malgun Gothic"/>
        <family val="2"/>
      </rPr>
      <t>沙口腔</t>
    </r>
  </si>
  <si>
    <r>
      <rPr>
        <sz val="10"/>
        <color indexed="8"/>
        <rFont val="等线"/>
        <family val="3"/>
        <charset val="134"/>
      </rPr>
      <t>郑</t>
    </r>
    <r>
      <rPr>
        <sz val="10"/>
        <color indexed="8"/>
        <rFont val="Malgun Gothic"/>
        <family val="2"/>
      </rPr>
      <t>州唯美</t>
    </r>
  </si>
  <si>
    <r>
      <t>深</t>
    </r>
    <r>
      <rPr>
        <sz val="10"/>
        <color indexed="8"/>
        <rFont val="等线"/>
        <family val="3"/>
        <charset val="134"/>
      </rPr>
      <t>圳</t>
    </r>
    <r>
      <rPr>
        <sz val="10"/>
        <color indexed="8"/>
        <rFont val="Malgun Gothic"/>
        <family val="2"/>
      </rPr>
      <t>河山口腔</t>
    </r>
  </si>
  <si>
    <r>
      <t>深</t>
    </r>
    <r>
      <rPr>
        <sz val="10"/>
        <color indexed="8"/>
        <rFont val="等线"/>
        <family val="3"/>
        <charset val="134"/>
      </rPr>
      <t>圳</t>
    </r>
    <r>
      <rPr>
        <sz val="10"/>
        <color indexed="8"/>
        <rFont val="Malgun Gothic"/>
        <family val="2"/>
      </rPr>
      <t>君信</t>
    </r>
  </si>
  <si>
    <r>
      <t>沈</t>
    </r>
    <r>
      <rPr>
        <sz val="10"/>
        <color indexed="8"/>
        <rFont val="等线"/>
        <family val="3"/>
        <charset val="134"/>
      </rPr>
      <t>阳</t>
    </r>
    <r>
      <rPr>
        <sz val="10"/>
        <color indexed="8"/>
        <rFont val="Malgun Gothic"/>
        <family val="2"/>
      </rPr>
      <t>德</t>
    </r>
    <r>
      <rPr>
        <sz val="10"/>
        <color indexed="8"/>
        <rFont val="等线"/>
        <family val="3"/>
        <charset val="134"/>
      </rPr>
      <t>亿</t>
    </r>
    <r>
      <rPr>
        <sz val="10"/>
        <color indexed="8"/>
        <rFont val="Malgun Gothic"/>
        <family val="2"/>
      </rPr>
      <t>康商</t>
    </r>
    <r>
      <rPr>
        <sz val="10"/>
        <color indexed="8"/>
        <rFont val="等线"/>
        <family val="3"/>
        <charset val="134"/>
      </rPr>
      <t>贸</t>
    </r>
    <r>
      <rPr>
        <sz val="10"/>
        <color indexed="8"/>
        <rFont val="Malgun Gothic"/>
        <family val="2"/>
      </rPr>
      <t>有限公司</t>
    </r>
  </si>
  <si>
    <r>
      <t>深</t>
    </r>
    <r>
      <rPr>
        <sz val="10"/>
        <color indexed="8"/>
        <rFont val="等线"/>
        <family val="3"/>
        <charset val="134"/>
      </rPr>
      <t>圳尚创</t>
    </r>
    <r>
      <rPr>
        <sz val="10"/>
        <color indexed="8"/>
        <rFont val="Malgun Gothic"/>
        <family val="2"/>
      </rPr>
      <t>峰口腔</t>
    </r>
    <r>
      <rPr>
        <sz val="10"/>
        <color indexed="8"/>
        <rFont val="等线"/>
        <family val="3"/>
        <charset val="134"/>
      </rPr>
      <t>门诊</t>
    </r>
    <r>
      <rPr>
        <sz val="10"/>
        <color indexed="8"/>
        <rFont val="Malgun Gothic"/>
        <family val="2"/>
      </rPr>
      <t>部</t>
    </r>
  </si>
  <si>
    <r>
      <t>沈</t>
    </r>
    <r>
      <rPr>
        <sz val="10"/>
        <color indexed="8"/>
        <rFont val="等线"/>
        <family val="3"/>
        <charset val="134"/>
      </rPr>
      <t>阳</t>
    </r>
    <r>
      <rPr>
        <sz val="10"/>
        <color indexed="8"/>
        <rFont val="Malgun Gothic"/>
        <family val="2"/>
      </rPr>
      <t>十方精</t>
    </r>
    <r>
      <rPr>
        <sz val="10"/>
        <color indexed="8"/>
        <rFont val="等线"/>
        <family val="3"/>
        <charset val="134"/>
      </rPr>
      <t>诚医疗</t>
    </r>
    <r>
      <rPr>
        <sz val="10"/>
        <color indexed="8"/>
        <rFont val="Malgun Gothic"/>
        <family val="2"/>
      </rPr>
      <t>器械有限公司</t>
    </r>
  </si>
  <si>
    <r>
      <t>天津</t>
    </r>
    <r>
      <rPr>
        <sz val="10"/>
        <color indexed="8"/>
        <rFont val="等线"/>
        <family val="3"/>
        <charset val="134"/>
      </rPr>
      <t>鑫</t>
    </r>
    <r>
      <rPr>
        <sz val="10"/>
        <color indexed="8"/>
        <rFont val="Malgun Gothic"/>
        <family val="2"/>
      </rPr>
      <t>雅</t>
    </r>
    <r>
      <rPr>
        <sz val="10"/>
        <color indexed="8"/>
        <rFont val="等线"/>
        <family val="3"/>
        <charset val="134"/>
      </rPr>
      <t>尔医疗</t>
    </r>
    <r>
      <rPr>
        <sz val="10"/>
        <color indexed="8"/>
        <rFont val="Malgun Gothic"/>
        <family val="2"/>
      </rPr>
      <t>管理有限公司</t>
    </r>
  </si>
  <si>
    <r>
      <rPr>
        <sz val="10"/>
        <color indexed="8"/>
        <rFont val="等线"/>
        <family val="3"/>
        <charset val="134"/>
      </rPr>
      <t>温</t>
    </r>
    <r>
      <rPr>
        <sz val="10"/>
        <color indexed="8"/>
        <rFont val="Malgun Gothic"/>
        <family val="2"/>
      </rPr>
      <t>州口腔</t>
    </r>
    <r>
      <rPr>
        <sz val="10"/>
        <color indexed="8"/>
        <rFont val="等线"/>
        <family val="3"/>
        <charset val="134"/>
      </rPr>
      <t>医</t>
    </r>
    <r>
      <rPr>
        <sz val="10"/>
        <color indexed="8"/>
        <rFont val="Malgun Gothic"/>
        <family val="2"/>
      </rPr>
      <t>院有限公司</t>
    </r>
    <r>
      <rPr>
        <sz val="10"/>
        <color indexed="8"/>
        <rFont val="等线"/>
        <family val="3"/>
        <charset val="134"/>
      </rPr>
      <t>连锁</t>
    </r>
  </si>
  <si>
    <r>
      <t>石家庄</t>
    </r>
    <r>
      <rPr>
        <sz val="10"/>
        <color indexed="8"/>
        <rFont val="等线"/>
        <family val="3"/>
        <charset val="134"/>
      </rPr>
      <t>双</t>
    </r>
    <r>
      <rPr>
        <sz val="10"/>
        <color indexed="8"/>
        <rFont val="Malgun Gothic"/>
        <family val="2"/>
      </rPr>
      <t>合口腔</t>
    </r>
  </si>
  <si>
    <r>
      <t>重</t>
    </r>
    <r>
      <rPr>
        <sz val="10"/>
        <color indexed="8"/>
        <rFont val="等线"/>
        <family val="3"/>
        <charset val="134"/>
      </rPr>
      <t>庆</t>
    </r>
    <r>
      <rPr>
        <sz val="10"/>
        <color indexed="8"/>
        <rFont val="Malgun Gothic"/>
        <family val="2"/>
      </rPr>
      <t>臻</t>
    </r>
    <r>
      <rPr>
        <sz val="10"/>
        <color indexed="8"/>
        <rFont val="等线"/>
        <family val="3"/>
        <charset val="134"/>
      </rPr>
      <t>时</t>
    </r>
    <r>
      <rPr>
        <sz val="10"/>
        <color indexed="8"/>
        <rFont val="Malgun Gothic"/>
        <family val="2"/>
      </rPr>
      <t>代</t>
    </r>
  </si>
  <si>
    <r>
      <rPr>
        <sz val="10"/>
        <color indexed="8"/>
        <rFont val="等线"/>
        <family val="3"/>
        <charset val="134"/>
      </rPr>
      <t>诸暨</t>
    </r>
    <r>
      <rPr>
        <sz val="10"/>
        <color indexed="8"/>
        <rFont val="Malgun Gothic"/>
        <family val="2"/>
      </rPr>
      <t>浙</t>
    </r>
    <r>
      <rPr>
        <sz val="10"/>
        <color indexed="8"/>
        <rFont val="等线"/>
        <family val="3"/>
        <charset val="134"/>
      </rPr>
      <t>绍</t>
    </r>
  </si>
  <si>
    <r>
      <rPr>
        <sz val="10"/>
        <color indexed="8"/>
        <rFont val="等线"/>
        <family val="3"/>
        <charset val="134"/>
      </rPr>
      <t>苏</t>
    </r>
    <r>
      <rPr>
        <sz val="10"/>
        <color indexed="8"/>
        <rFont val="Malgun Gothic"/>
        <family val="2"/>
      </rPr>
      <t>州海珥森</t>
    </r>
    <r>
      <rPr>
        <sz val="10"/>
        <color indexed="8"/>
        <rFont val="等线"/>
        <family val="3"/>
        <charset val="134"/>
      </rPr>
      <t>医疗</t>
    </r>
    <r>
      <rPr>
        <sz val="10"/>
        <color indexed="8"/>
        <rFont val="Malgun Gothic"/>
        <family val="2"/>
      </rPr>
      <t>器械有限公司2</t>
    </r>
    <phoneticPr fontId="19" type="noConversion"/>
  </si>
  <si>
    <r>
      <rPr>
        <sz val="10"/>
        <color indexed="8"/>
        <rFont val="等线"/>
        <family val="3"/>
        <charset val="134"/>
      </rPr>
      <t>苏</t>
    </r>
    <r>
      <rPr>
        <sz val="10"/>
        <color indexed="8"/>
        <rFont val="Malgun Gothic"/>
        <family val="2"/>
      </rPr>
      <t>州市相城</t>
    </r>
    <r>
      <rPr>
        <sz val="10"/>
        <color indexed="8"/>
        <rFont val="等线"/>
        <family val="3"/>
        <charset val="134"/>
      </rPr>
      <t>区</t>
    </r>
    <r>
      <rPr>
        <sz val="10"/>
        <color indexed="8"/>
        <rFont val="Malgun Gothic"/>
        <family val="2"/>
      </rPr>
      <t>元和牙先生口腔</t>
    </r>
    <r>
      <rPr>
        <sz val="10"/>
        <color indexed="8"/>
        <rFont val="等线"/>
        <family val="3"/>
        <charset val="134"/>
      </rPr>
      <t>诊</t>
    </r>
    <r>
      <rPr>
        <sz val="10"/>
        <color indexed="8"/>
        <rFont val="Malgun Gothic"/>
        <family val="2"/>
      </rPr>
      <t>所有限公司</t>
    </r>
  </si>
  <si>
    <r>
      <t>唐山博</t>
    </r>
    <r>
      <rPr>
        <sz val="10"/>
        <color indexed="8"/>
        <rFont val="等线"/>
        <family val="3"/>
        <charset val="134"/>
      </rPr>
      <t>尔</t>
    </r>
  </si>
  <si>
    <r>
      <t>云南</t>
    </r>
    <r>
      <rPr>
        <sz val="10"/>
        <color indexed="8"/>
        <rFont val="等线"/>
        <family val="3"/>
        <charset val="134"/>
      </rPr>
      <t>爱</t>
    </r>
    <r>
      <rPr>
        <sz val="10"/>
        <color indexed="8"/>
        <rFont val="Malgun Gothic"/>
        <family val="2"/>
      </rPr>
      <t>雅</t>
    </r>
    <r>
      <rPr>
        <sz val="10"/>
        <color indexed="8"/>
        <rFont val="等线"/>
        <family val="3"/>
        <charset val="134"/>
      </rPr>
      <t>齿辉</t>
    </r>
    <r>
      <rPr>
        <sz val="10"/>
        <color indexed="8"/>
        <rFont val="Malgun Gothic"/>
        <family val="2"/>
      </rPr>
      <t>口腔</t>
    </r>
    <r>
      <rPr>
        <sz val="10"/>
        <color indexed="8"/>
        <rFont val="等线"/>
        <family val="3"/>
        <charset val="134"/>
      </rPr>
      <t>医</t>
    </r>
    <r>
      <rPr>
        <sz val="10"/>
        <color indexed="8"/>
        <rFont val="Malgun Gothic"/>
        <family val="2"/>
      </rPr>
      <t>院有限公司</t>
    </r>
    <r>
      <rPr>
        <sz val="10"/>
        <color indexed="8"/>
        <rFont val="等线"/>
        <family val="3"/>
        <charset val="134"/>
      </rPr>
      <t>广</t>
    </r>
    <r>
      <rPr>
        <sz val="10"/>
        <color indexed="8"/>
        <rFont val="Malgun Gothic"/>
        <family val="2"/>
      </rPr>
      <t>居路分公司</t>
    </r>
  </si>
  <si>
    <r>
      <rPr>
        <sz val="10"/>
        <color indexed="8"/>
        <rFont val="等线"/>
        <family val="3"/>
        <charset val="134"/>
      </rPr>
      <t>芜</t>
    </r>
    <r>
      <rPr>
        <sz val="10"/>
        <color indexed="8"/>
        <rFont val="Malgun Gothic"/>
        <family val="2"/>
      </rPr>
      <t>湖市江城口腔有限</t>
    </r>
    <r>
      <rPr>
        <sz val="10"/>
        <color indexed="8"/>
        <rFont val="等线"/>
        <family val="3"/>
        <charset val="134"/>
      </rPr>
      <t>责</t>
    </r>
    <r>
      <rPr>
        <sz val="10"/>
        <color indexed="8"/>
        <rFont val="Malgun Gothic"/>
        <family val="2"/>
      </rPr>
      <t>任公司</t>
    </r>
  </si>
  <si>
    <r>
      <t>西昌春城口腔</t>
    </r>
    <r>
      <rPr>
        <sz val="10"/>
        <color indexed="8"/>
        <rFont val="等线"/>
        <family val="3"/>
        <charset val="134"/>
      </rPr>
      <t>门诊</t>
    </r>
    <r>
      <rPr>
        <sz val="10"/>
        <color indexed="8"/>
        <rFont val="Malgun Gothic"/>
        <family val="2"/>
      </rPr>
      <t>部有限公司</t>
    </r>
  </si>
  <si>
    <r>
      <rPr>
        <sz val="10"/>
        <color indexed="8"/>
        <rFont val="等线"/>
        <family val="3"/>
        <charset val="134"/>
      </rPr>
      <t>众</t>
    </r>
    <r>
      <rPr>
        <sz val="10"/>
        <color indexed="8"/>
        <rFont val="Malgun Gothic"/>
        <family val="2"/>
      </rPr>
      <t>植</t>
    </r>
    <r>
      <rPr>
        <sz val="10"/>
        <color indexed="8"/>
        <rFont val="等线"/>
        <family val="3"/>
        <charset val="134"/>
      </rPr>
      <t>齿</t>
    </r>
    <r>
      <rPr>
        <sz val="10"/>
        <color indexed="8"/>
        <rFont val="Malgun Gothic"/>
        <family val="2"/>
      </rPr>
      <t>科</t>
    </r>
    <r>
      <rPr>
        <sz val="10"/>
        <color indexed="8"/>
        <rFont val="等线"/>
        <family val="3"/>
        <charset val="134"/>
      </rPr>
      <t>医</t>
    </r>
    <r>
      <rPr>
        <sz val="10"/>
        <color indexed="8"/>
        <rFont val="Malgun Gothic"/>
        <family val="2"/>
      </rPr>
      <t>院</t>
    </r>
  </si>
  <si>
    <r>
      <t>西安碑林大象口腔</t>
    </r>
    <r>
      <rPr>
        <sz val="10"/>
        <color indexed="8"/>
        <rFont val="等线"/>
        <family val="3"/>
        <charset val="134"/>
      </rPr>
      <t>门诊</t>
    </r>
    <r>
      <rPr>
        <sz val="10"/>
        <color indexed="8"/>
        <rFont val="Malgun Gothic"/>
        <family val="2"/>
      </rPr>
      <t>部有限公司</t>
    </r>
  </si>
  <si>
    <r>
      <rPr>
        <sz val="10"/>
        <color indexed="8"/>
        <rFont val="等线"/>
        <family val="3"/>
        <charset val="134"/>
      </rPr>
      <t>长</t>
    </r>
    <r>
      <rPr>
        <sz val="10"/>
        <color indexed="8"/>
        <rFont val="Malgun Gothic"/>
        <family val="2"/>
      </rPr>
      <t>沙正念-好牙依</t>
    </r>
  </si>
  <si>
    <r>
      <t>西</t>
    </r>
    <r>
      <rPr>
        <sz val="10"/>
        <color indexed="8"/>
        <rFont val="等线"/>
        <family val="3"/>
        <charset val="134"/>
      </rPr>
      <t>宁蓝</t>
    </r>
    <r>
      <rPr>
        <sz val="10"/>
        <color indexed="8"/>
        <rFont val="Malgun Gothic"/>
        <family val="2"/>
      </rPr>
      <t>刺</t>
    </r>
    <r>
      <rPr>
        <sz val="10"/>
        <color indexed="8"/>
        <rFont val="等线"/>
        <family val="3"/>
        <charset val="134"/>
      </rPr>
      <t>猬</t>
    </r>
    <r>
      <rPr>
        <sz val="10"/>
        <color indexed="8"/>
        <rFont val="Malgun Gothic"/>
        <family val="2"/>
      </rPr>
      <t>口腔</t>
    </r>
    <r>
      <rPr>
        <sz val="10"/>
        <color indexed="8"/>
        <rFont val="等线"/>
        <family val="3"/>
        <charset val="134"/>
      </rPr>
      <t>门诊</t>
    </r>
    <r>
      <rPr>
        <sz val="10"/>
        <color indexed="8"/>
        <rFont val="Malgun Gothic"/>
        <family val="2"/>
      </rPr>
      <t>有限公司</t>
    </r>
  </si>
  <si>
    <r>
      <rPr>
        <sz val="10"/>
        <color indexed="8"/>
        <rFont val="等线"/>
        <family val="3"/>
        <charset val="134"/>
      </rPr>
      <t>长兴医疗</t>
    </r>
    <r>
      <rPr>
        <sz val="10"/>
        <color indexed="8"/>
        <rFont val="Malgun Gothic"/>
        <family val="2"/>
      </rPr>
      <t>器械公司</t>
    </r>
  </si>
  <si>
    <r>
      <t>希柏</t>
    </r>
    <r>
      <rPr>
        <sz val="10"/>
        <color indexed="8"/>
        <rFont val="等线"/>
        <family val="3"/>
        <charset val="134"/>
      </rPr>
      <t>莱</t>
    </r>
    <r>
      <rPr>
        <sz val="10"/>
        <color indexed="8"/>
        <rFont val="Malgun Gothic"/>
        <family val="2"/>
      </rPr>
      <t>（穗</t>
    </r>
    <r>
      <rPr>
        <sz val="10"/>
        <color indexed="8"/>
        <rFont val="等线"/>
        <family val="3"/>
        <charset val="134"/>
      </rPr>
      <t>华</t>
    </r>
    <r>
      <rPr>
        <sz val="10"/>
        <color indexed="8"/>
        <rFont val="Malgun Gothic"/>
        <family val="2"/>
      </rPr>
      <t>口腔）</t>
    </r>
    <phoneticPr fontId="19" type="noConversion"/>
  </si>
  <si>
    <r>
      <t>云南</t>
    </r>
    <r>
      <rPr>
        <sz val="10"/>
        <color indexed="8"/>
        <rFont val="等线"/>
        <family val="3"/>
        <charset val="134"/>
      </rPr>
      <t>亚</t>
    </r>
    <r>
      <rPr>
        <sz val="10"/>
        <color indexed="8"/>
        <rFont val="Malgun Gothic"/>
        <family val="2"/>
      </rPr>
      <t>云</t>
    </r>
  </si>
  <si>
    <r>
      <t>徐州</t>
    </r>
    <r>
      <rPr>
        <sz val="10"/>
        <color indexed="8"/>
        <rFont val="等线"/>
        <family val="3"/>
        <charset val="134"/>
      </rPr>
      <t>诺</t>
    </r>
    <r>
      <rPr>
        <sz val="10"/>
        <color indexed="8"/>
        <rFont val="Malgun Gothic"/>
        <family val="2"/>
      </rPr>
      <t>恩口腔</t>
    </r>
    <r>
      <rPr>
        <sz val="10"/>
        <color indexed="8"/>
        <rFont val="等线"/>
        <family val="3"/>
        <charset val="134"/>
      </rPr>
      <t>门诊</t>
    </r>
    <r>
      <rPr>
        <sz val="10"/>
        <color indexed="8"/>
        <rFont val="Malgun Gothic"/>
        <family val="2"/>
      </rPr>
      <t>部有限公司</t>
    </r>
  </si>
  <si>
    <r>
      <t>宣城市</t>
    </r>
    <r>
      <rPr>
        <sz val="10"/>
        <color indexed="8"/>
        <rFont val="等线"/>
        <family val="3"/>
        <charset val="134"/>
      </rPr>
      <t>为</t>
    </r>
    <r>
      <rPr>
        <sz val="10"/>
        <color indexed="8"/>
        <rFont val="Malgun Gothic"/>
        <family val="2"/>
      </rPr>
      <t>民口腔</t>
    </r>
    <r>
      <rPr>
        <sz val="10"/>
        <color indexed="8"/>
        <rFont val="等线"/>
        <family val="3"/>
        <charset val="134"/>
      </rPr>
      <t>门诊</t>
    </r>
    <r>
      <rPr>
        <sz val="10"/>
        <color indexed="8"/>
        <rFont val="Malgun Gothic"/>
        <family val="2"/>
      </rPr>
      <t>部</t>
    </r>
  </si>
  <si>
    <r>
      <rPr>
        <sz val="10"/>
        <color indexed="8"/>
        <rFont val="等线"/>
        <family val="3"/>
        <charset val="134"/>
      </rPr>
      <t>众</t>
    </r>
    <r>
      <rPr>
        <sz val="10"/>
        <color indexed="8"/>
        <rFont val="Malgun Gothic"/>
        <family val="2"/>
      </rPr>
      <t>植博士</t>
    </r>
  </si>
  <si>
    <r>
      <t>烟台</t>
    </r>
    <r>
      <rPr>
        <sz val="10"/>
        <color indexed="8"/>
        <rFont val="等线"/>
        <family val="3"/>
        <charset val="134"/>
      </rPr>
      <t>枫</t>
    </r>
    <r>
      <rPr>
        <sz val="10"/>
        <color indexed="8"/>
        <rFont val="Malgun Gothic"/>
        <family val="2"/>
      </rPr>
      <t>林</t>
    </r>
    <r>
      <rPr>
        <sz val="10"/>
        <color indexed="8"/>
        <rFont val="等线"/>
        <family val="3"/>
        <charset val="134"/>
      </rPr>
      <t>医疗</t>
    </r>
    <r>
      <rPr>
        <sz val="10"/>
        <color indexed="8"/>
        <rFont val="Malgun Gothic"/>
        <family val="2"/>
      </rPr>
      <t>器械</t>
    </r>
    <r>
      <rPr>
        <sz val="10"/>
        <color indexed="8"/>
        <rFont val="等线"/>
        <family val="3"/>
        <charset val="134"/>
      </rPr>
      <t>销售</t>
    </r>
    <r>
      <rPr>
        <sz val="10"/>
        <color indexed="8"/>
        <rFont val="Malgun Gothic"/>
        <family val="2"/>
      </rPr>
      <t>有限公司</t>
    </r>
  </si>
  <si>
    <r>
      <t>玉溪舒</t>
    </r>
    <r>
      <rPr>
        <sz val="10"/>
        <color indexed="8"/>
        <rFont val="等线"/>
        <family val="3"/>
        <charset val="134"/>
      </rPr>
      <t>尔</t>
    </r>
  </si>
  <si>
    <r>
      <rPr>
        <sz val="10"/>
        <color indexed="8"/>
        <rFont val="等线"/>
        <family val="3"/>
        <charset val="134"/>
      </rPr>
      <t>盐</t>
    </r>
    <r>
      <rPr>
        <sz val="10"/>
        <color indexed="8"/>
        <rFont val="Malgun Gothic"/>
        <family val="2"/>
      </rPr>
      <t>城晋瑞口腔</t>
    </r>
    <r>
      <rPr>
        <sz val="10"/>
        <color indexed="8"/>
        <rFont val="等线"/>
        <family val="3"/>
        <charset val="134"/>
      </rPr>
      <t>门诊</t>
    </r>
    <r>
      <rPr>
        <sz val="10"/>
        <color indexed="8"/>
        <rFont val="Malgun Gothic"/>
        <family val="2"/>
      </rPr>
      <t>部有限公司</t>
    </r>
  </si>
  <si>
    <r>
      <rPr>
        <sz val="10"/>
        <color indexed="8"/>
        <rFont val="等线"/>
        <family val="3"/>
        <charset val="134"/>
      </rPr>
      <t>银</t>
    </r>
    <r>
      <rPr>
        <sz val="10"/>
        <color indexed="8"/>
        <rFont val="Malgun Gothic"/>
        <family val="2"/>
      </rPr>
      <t>川市</t>
    </r>
    <r>
      <rPr>
        <sz val="10"/>
        <color indexed="8"/>
        <rFont val="等线"/>
        <family val="3"/>
        <charset val="134"/>
      </rPr>
      <t>兴庆区</t>
    </r>
    <r>
      <rPr>
        <sz val="10"/>
        <color indexed="8"/>
        <rFont val="Malgun Gothic"/>
        <family val="2"/>
      </rPr>
      <t>名仁口腔</t>
    </r>
    <r>
      <rPr>
        <sz val="10"/>
        <color indexed="8"/>
        <rFont val="等线"/>
        <family val="3"/>
        <charset val="134"/>
      </rPr>
      <t>诊</t>
    </r>
    <r>
      <rPr>
        <sz val="10"/>
        <color indexed="8"/>
        <rFont val="Malgun Gothic"/>
        <family val="2"/>
      </rPr>
      <t>所</t>
    </r>
  </si>
  <si>
    <r>
      <rPr>
        <sz val="10"/>
        <color indexed="8"/>
        <rFont val="等线"/>
        <family val="3"/>
        <charset val="134"/>
      </rPr>
      <t>张</t>
    </r>
    <r>
      <rPr>
        <sz val="10"/>
        <color indexed="8"/>
        <rFont val="Malgun Gothic"/>
        <family val="2"/>
      </rPr>
      <t>家口</t>
    </r>
    <r>
      <rPr>
        <sz val="10"/>
        <color indexed="8"/>
        <rFont val="等线"/>
        <family val="3"/>
        <charset val="134"/>
      </rPr>
      <t>玛</t>
    </r>
    <r>
      <rPr>
        <sz val="10"/>
        <color indexed="8"/>
        <rFont val="Malgun Gothic"/>
        <family val="2"/>
      </rPr>
      <t>格</t>
    </r>
  </si>
  <si>
    <r>
      <rPr>
        <sz val="10"/>
        <color indexed="8"/>
        <rFont val="等线"/>
        <family val="3"/>
        <charset val="134"/>
      </rPr>
      <t>长</t>
    </r>
    <r>
      <rPr>
        <sz val="10"/>
        <color indexed="8"/>
        <rFont val="Malgun Gothic"/>
        <family val="2"/>
      </rPr>
      <t>沙牙祖口腔</t>
    </r>
    <r>
      <rPr>
        <sz val="10"/>
        <color indexed="8"/>
        <rFont val="等线"/>
        <family val="3"/>
        <charset val="134"/>
      </rPr>
      <t>门诊</t>
    </r>
    <r>
      <rPr>
        <sz val="10"/>
        <color indexed="8"/>
        <rFont val="Malgun Gothic"/>
        <family val="2"/>
      </rPr>
      <t>部有限公司</t>
    </r>
  </si>
  <si>
    <r>
      <t>重</t>
    </r>
    <r>
      <rPr>
        <sz val="10"/>
        <color indexed="8"/>
        <rFont val="等线"/>
        <family val="3"/>
        <charset val="134"/>
      </rPr>
      <t>庆</t>
    </r>
    <r>
      <rPr>
        <sz val="10"/>
        <color indexed="8"/>
        <rFont val="Malgun Gothic"/>
        <family val="2"/>
      </rPr>
      <t>玖和</t>
    </r>
    <r>
      <rPr>
        <sz val="10"/>
        <color indexed="8"/>
        <rFont val="等线"/>
        <family val="3"/>
        <charset val="134"/>
      </rPr>
      <t>医疗</t>
    </r>
    <r>
      <rPr>
        <sz val="10"/>
        <color indexed="8"/>
        <rFont val="Malgun Gothic"/>
        <family val="2"/>
      </rPr>
      <t>器械有限公司</t>
    </r>
  </si>
  <si>
    <r>
      <t>中</t>
    </r>
    <r>
      <rPr>
        <sz val="10"/>
        <color indexed="8"/>
        <rFont val="等线"/>
        <family val="3"/>
        <charset val="134"/>
      </rPr>
      <t>诺</t>
    </r>
    <r>
      <rPr>
        <sz val="10"/>
        <color indexed="8"/>
        <rFont val="Malgun Gothic"/>
        <family val="2"/>
      </rPr>
      <t>集</t>
    </r>
    <r>
      <rPr>
        <sz val="10"/>
        <color indexed="8"/>
        <rFont val="等线"/>
        <family val="3"/>
        <charset val="134"/>
      </rPr>
      <t>团</t>
    </r>
    <r>
      <rPr>
        <sz val="10"/>
        <color indexed="8"/>
        <rFont val="Malgun Gothic"/>
        <family val="2"/>
      </rPr>
      <t>1</t>
    </r>
    <phoneticPr fontId="19" type="noConversion"/>
  </si>
  <si>
    <r>
      <rPr>
        <sz val="10"/>
        <color indexed="8"/>
        <rFont val="等线"/>
        <family val="3"/>
        <charset val="134"/>
      </rPr>
      <t>东</t>
    </r>
    <r>
      <rPr>
        <sz val="10"/>
        <color indexed="8"/>
        <rFont val="Malgun Gothic"/>
        <family val="2"/>
      </rPr>
      <t>莞</t>
    </r>
    <r>
      <rPr>
        <sz val="10"/>
        <color indexed="8"/>
        <rFont val="等线"/>
        <family val="3"/>
        <charset val="134"/>
      </rPr>
      <t>东</t>
    </r>
    <r>
      <rPr>
        <sz val="10"/>
        <color indexed="8"/>
        <rFont val="Malgun Gothic"/>
        <family val="2"/>
      </rPr>
      <t>城百花3</t>
    </r>
  </si>
  <si>
    <r>
      <rPr>
        <sz val="10"/>
        <color indexed="8"/>
        <rFont val="等线"/>
        <family val="3"/>
        <charset val="134"/>
      </rPr>
      <t>滨</t>
    </r>
    <r>
      <rPr>
        <sz val="10"/>
        <color indexed="8"/>
        <rFont val="Malgun Gothic"/>
        <family val="2"/>
      </rPr>
      <t>海冠</t>
    </r>
    <r>
      <rPr>
        <sz val="10"/>
        <color indexed="8"/>
        <rFont val="等线"/>
        <family val="3"/>
        <charset val="134"/>
      </rPr>
      <t>华</t>
    </r>
    <r>
      <rPr>
        <sz val="10"/>
        <color indexed="8"/>
        <rFont val="Malgun Gothic"/>
        <family val="2"/>
      </rPr>
      <t>口腔</t>
    </r>
    <r>
      <rPr>
        <sz val="10"/>
        <color indexed="8"/>
        <rFont val="等线"/>
        <family val="3"/>
        <charset val="134"/>
      </rPr>
      <t>门诊</t>
    </r>
    <r>
      <rPr>
        <sz val="10"/>
        <color indexed="8"/>
        <rFont val="Malgun Gothic"/>
        <family val="2"/>
      </rPr>
      <t>部有限公司</t>
    </r>
  </si>
  <si>
    <r>
      <rPr>
        <sz val="10"/>
        <color indexed="8"/>
        <rFont val="等线"/>
        <family val="3"/>
        <charset val="134"/>
      </rPr>
      <t>诸暨</t>
    </r>
    <r>
      <rPr>
        <sz val="10"/>
        <color indexed="8"/>
        <rFont val="Malgun Gothic"/>
        <family val="2"/>
      </rPr>
      <t>杭成口腔</t>
    </r>
    <r>
      <rPr>
        <sz val="10"/>
        <color indexed="8"/>
        <rFont val="等线"/>
        <family val="3"/>
        <charset val="134"/>
      </rPr>
      <t>门诊</t>
    </r>
    <r>
      <rPr>
        <sz val="10"/>
        <color indexed="8"/>
        <rFont val="Malgun Gothic"/>
        <family val="2"/>
      </rPr>
      <t>部有限公司</t>
    </r>
  </si>
  <si>
    <t>福州福仁采销科技有限公司</t>
  </si>
  <si>
    <t>广德阳光口腔医院有限公司</t>
  </si>
  <si>
    <t>昆明久植医疗器械有限公司</t>
  </si>
  <si>
    <t>天津鑫雅尔医疗管理有限公司2</t>
  </si>
  <si>
    <t>杭州亮贝美口腔连锁2</t>
  </si>
  <si>
    <t>BIJT-C-LS-HK-25A-25-0095</t>
  </si>
  <si>
    <t>BIJT-C-LS-HK-25A-25-0096</t>
  </si>
  <si>
    <t>BIJT-B-LS-HK-25A-25-0013</t>
  </si>
  <si>
    <t>SIJT-B-JX-HK-25A-26-0001</t>
  </si>
  <si>
    <t>BIJT-C-LS-XK-25A-25-0007</t>
  </si>
  <si>
    <t>SIJT-B-LS-HK-25A-25-0001</t>
  </si>
  <si>
    <t>BIJT-C-LS-HK-25A-25-0094</t>
  </si>
  <si>
    <t>BIJT-C-JX-HK-25A-25-0028</t>
  </si>
  <si>
    <t>BIJT-C-LS-HK-25A-25-0090</t>
  </si>
  <si>
    <t>BIJT-C-JX-HK-25A-25-0027</t>
  </si>
  <si>
    <t>SIJT-C-LS-HK-25A-25-0021</t>
  </si>
  <si>
    <t>SIJT-A-JX-HK-25A-26-0002</t>
  </si>
  <si>
    <t>BIJT-A-JX-HK-25A-25-0015</t>
  </si>
  <si>
    <t>SIJT-A-JX-HK-25A-25-0006</t>
  </si>
  <si>
    <t>BIJT-C-LS-HK-25A-25-0089</t>
  </si>
  <si>
    <t>BIJT-B-JX-HK-25A-25-0008</t>
  </si>
  <si>
    <t>BIJT-B-LS-HK-25A-25-0012</t>
  </si>
  <si>
    <t>BIJT-C-LS-HK-25A-25-0101</t>
  </si>
  <si>
    <t>BIJT-C-JX-HK-25A-25-0024</t>
  </si>
  <si>
    <t>BIJT-A-JX-HK-25A-25-0011</t>
  </si>
  <si>
    <t>BIJT-A-JX-XK-25A-25-0001</t>
  </si>
  <si>
    <t>BIJT-A-JX-HK-25A-25-0014</t>
  </si>
  <si>
    <t>TIJT-C-LS-HK-25A-25-0013</t>
  </si>
  <si>
    <t>BIJT-C-JX-XK-25A-25-0005</t>
  </si>
  <si>
    <t>BIJT-C-JX-HK-25A-25-0021</t>
  </si>
  <si>
    <t>BIJT-C-LS-HK-25A-25-0097</t>
  </si>
  <si>
    <t>BIJT-C-LS-HK-25A-25-0133</t>
  </si>
  <si>
    <t>BIJT-C-LS-HK-25A-25-0086</t>
  </si>
  <si>
    <t>BIJT-C-JX-HK-25A-25-0023</t>
  </si>
  <si>
    <t>BITJ-C-LS-HK-25A-25-0002</t>
  </si>
  <si>
    <t>BIJT-C-LS-XK-25A-25-0006</t>
  </si>
  <si>
    <t>BIJT-C-JX-HK-25A-25-0009</t>
  </si>
  <si>
    <t>SIJT-A-JX-HK-25A-25-0007</t>
  </si>
  <si>
    <t>BIJT-C-JX-HK-25A-25-0025</t>
  </si>
  <si>
    <t>BIJT-C-LS-XK-25A-25-0004</t>
  </si>
  <si>
    <t>SIJT-A-LS-HK-25A-26-0001</t>
  </si>
  <si>
    <t>SIJT-A-JX-HK-25A-26-0001</t>
  </si>
  <si>
    <t>BIJT-A-JX-HK-25A-26-0001</t>
  </si>
  <si>
    <t>BIJT-C-LS-HK-25A-26-0001</t>
  </si>
  <si>
    <t>BIJT-C-LS-HK-25A-26-0002</t>
  </si>
  <si>
    <t>BIJT-A-JX-HK-25A-26-0003</t>
  </si>
  <si>
    <t>BIJT-A-JX-HK-25A-26-0004</t>
  </si>
  <si>
    <t>BIJT-C-LS-HK-25A-26-0004</t>
  </si>
  <si>
    <t>BIJT-C-JX-HK-25A-26-0002</t>
  </si>
  <si>
    <t>BIJT-A-JX-HK-25A-26-0005</t>
  </si>
  <si>
    <t>BIJT-C-LS-HK-25A-26-0006</t>
  </si>
  <si>
    <t>BIJT-C-LS-HK-25A-26-0008</t>
  </si>
  <si>
    <t>BIJT-B-LS-XK-25A-26-0002</t>
  </si>
  <si>
    <t>BIJT-B-LS-XK-25A-26-0003</t>
  </si>
  <si>
    <t>BIJT-B-LS-HK-25A-26-0001</t>
  </si>
  <si>
    <t>BIJT-C-LS-HK-25A-26-0009</t>
  </si>
  <si>
    <t>BIJT-C-LS-HK-25A-26-0011</t>
  </si>
  <si>
    <t>SIJT-A-JX-HK-25A-26-0003</t>
  </si>
  <si>
    <t>TIJT-A-JXS-HK-25A-26-0002</t>
  </si>
  <si>
    <t>BIJT-B-LS-HK-25A-26-0002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</si>
</sst>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_);[Red]\(0\)"/>
    <numFmt numFmtId="177" formatCode="#&quot;月&quot;"/>
    <numFmt numFmtId="178" formatCode="#,##0_);[Red]\(#,##0\)"/>
  </numFmts>
  <fonts count="3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等线"/>
      <family val="2"/>
      <charset val="134"/>
      <scheme val="minor"/>
    </font>
    <font>
      <b/>
      <sz val="11"/>
      <color theme="0"/>
      <name val="Malgun Gothic"/>
      <family val="2"/>
      <charset val="129"/>
    </font>
    <font>
      <b/>
      <sz val="11"/>
      <color theme="0"/>
      <name val="宋体"/>
      <family val="2"/>
      <charset val="134"/>
    </font>
    <font>
      <sz val="10"/>
      <color theme="1"/>
      <name val="Malgun Gothic"/>
      <family val="2"/>
      <charset val="129"/>
    </font>
    <font>
      <b/>
      <sz val="10"/>
      <color theme="0"/>
      <name val="Malgun Gothic"/>
      <family val="2"/>
      <charset val="129"/>
    </font>
    <font>
      <b/>
      <sz val="10"/>
      <color theme="0"/>
      <name val="宋体"/>
      <family val="2"/>
      <charset val="134"/>
    </font>
    <font>
      <b/>
      <sz val="10"/>
      <color theme="0"/>
      <name val="Malgun Gothic"/>
      <family val="2"/>
      <charset val="134"/>
    </font>
    <font>
      <b/>
      <sz val="10"/>
      <color theme="7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10"/>
      <color theme="0"/>
      <name val="Malgun Gothic"/>
      <family val="2"/>
    </font>
    <font>
      <b/>
      <sz val="10"/>
      <color theme="0"/>
      <name val="Yu Gothic"/>
      <family val="2"/>
      <charset val="128"/>
    </font>
    <font>
      <b/>
      <sz val="10"/>
      <color theme="1"/>
      <name val="等线"/>
      <family val="3"/>
      <charset val="134"/>
    </font>
    <font>
      <b/>
      <sz val="10"/>
      <color theme="1"/>
      <name val="等线"/>
      <family val="3"/>
      <charset val="134"/>
      <scheme val="minor"/>
    </font>
    <font>
      <sz val="11"/>
      <color indexed="8"/>
      <name val="等线"/>
      <family val="2"/>
      <scheme val="minor"/>
    </font>
    <font>
      <sz val="10"/>
      <color rgb="FFFF0000"/>
      <name val="Malgun Gothic"/>
      <family val="2"/>
      <charset val="129"/>
    </font>
    <font>
      <sz val="9"/>
      <name val="等线"/>
      <family val="3"/>
      <charset val="134"/>
      <scheme val="minor"/>
    </font>
    <font>
      <sz val="10"/>
      <color indexed="8"/>
      <name val="Malgun Gothic"/>
      <family val="2"/>
      <charset val="129"/>
    </font>
    <font>
      <b/>
      <sz val="10"/>
      <color theme="0"/>
      <name val="等线"/>
      <family val="3"/>
      <charset val="134"/>
    </font>
    <font>
      <b/>
      <sz val="10"/>
      <color indexed="8"/>
      <name val="Malgun Gothic"/>
      <family val="2"/>
    </font>
    <font>
      <b/>
      <sz val="10"/>
      <color rgb="FF000000"/>
      <name val="Malgun Gothic"/>
      <family val="2"/>
    </font>
    <font>
      <b/>
      <sz val="10"/>
      <color rgb="FF0000FF"/>
      <name val="Malgun Gothic"/>
      <family val="2"/>
    </font>
    <font>
      <b/>
      <sz val="11"/>
      <color rgb="FF000000"/>
      <name val="Malgun Gothic"/>
      <family val="2"/>
    </font>
    <font>
      <sz val="10"/>
      <color indexed="8"/>
      <name val="Malgun Gothic"/>
      <family val="2"/>
    </font>
    <font>
      <sz val="10"/>
      <color indexed="8"/>
      <name val="等线"/>
      <family val="3"/>
      <charset val="134"/>
    </font>
    <font>
      <sz val="10"/>
      <color rgb="FFFF0000"/>
      <name val="Malgun Gothic"/>
      <family val="2"/>
    </font>
    <font>
      <sz val="10"/>
      <color rgb="FF0000FF"/>
      <name val="Malgun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9"/>
      <color indexed="81"/>
      <name val="BatangChe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00348D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dashed">
        <color theme="0" tint="-0.499984740745262"/>
      </right>
      <top style="dashed">
        <color theme="0" tint="-0.499984740745262"/>
      </top>
      <bottom style="dashed">
        <color theme="0" tint="-0.499984740745262"/>
      </bottom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hair">
        <color theme="1" tint="0.24994659260841701"/>
      </right>
      <top style="thin">
        <color theme="0" tint="-4.9989318521683403E-2"/>
      </top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theme="1" tint="0.24994659260841701"/>
      </right>
      <top style="thin">
        <color theme="0" tint="-4.9989318521683403E-2"/>
      </top>
      <bottom style="hair">
        <color theme="1" tint="0.24994659260841701"/>
      </bottom>
      <diagonal/>
    </border>
    <border>
      <left style="hair">
        <color theme="1" tint="0.24994659260841701"/>
      </left>
      <right/>
      <top style="thin">
        <color theme="0" tint="-4.9989318521683403E-2"/>
      </top>
      <bottom style="hair">
        <color theme="1" tint="0.24994659260841701"/>
      </bottom>
      <diagonal/>
    </border>
    <border>
      <left/>
      <right style="hair">
        <color theme="1" tint="0.24994659260841701"/>
      </right>
      <top/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theme="1" tint="0.24994659260841701"/>
      </right>
      <top/>
      <bottom style="hair">
        <color theme="1" tint="0.24994659260841701"/>
      </bottom>
      <diagonal/>
    </border>
    <border>
      <left style="hair">
        <color theme="1" tint="0.24994659260841701"/>
      </left>
      <right/>
      <top/>
      <bottom style="hair">
        <color theme="1" tint="0.24994659260841701"/>
      </bottom>
      <diagonal/>
    </border>
    <border>
      <left/>
      <right style="hair">
        <color theme="1" tint="0.24994659260841701"/>
      </right>
      <top style="hair">
        <color theme="1" tint="0.24994659260841701"/>
      </top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1" tint="0.24994659260841701"/>
      </top>
      <bottom style="hair">
        <color theme="1" tint="0.24994659260841701"/>
      </bottom>
      <diagonal/>
    </border>
    <border>
      <left style="hair">
        <color theme="1" tint="0.24994659260841701"/>
      </left>
      <right/>
      <top style="hair">
        <color theme="1" tint="0.24994659260841701"/>
      </top>
      <bottom style="hair">
        <color theme="1" tint="0.24994659260841701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41" fontId="4" fillId="0" borderId="0" xfId="1" applyFont="1">
      <alignment vertical="center"/>
    </xf>
    <xf numFmtId="9" fontId="2" fillId="0" borderId="0" xfId="2" applyFont="1">
      <alignment vertical="center"/>
    </xf>
    <xf numFmtId="9" fontId="2" fillId="0" borderId="0" xfId="2" applyFont="1" applyAlignment="1">
      <alignment horizontal="center" vertical="center"/>
    </xf>
    <xf numFmtId="0" fontId="5" fillId="2" borderId="1" xfId="0" applyFont="1" applyFill="1" applyBorder="1">
      <alignment vertical="center"/>
    </xf>
    <xf numFmtId="14" fontId="5" fillId="2" borderId="1" xfId="0" applyNumberFormat="1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>
      <alignment vertical="center"/>
    </xf>
    <xf numFmtId="0" fontId="5" fillId="4" borderId="1" xfId="0" applyFont="1" applyFill="1" applyBorder="1">
      <alignment vertical="center"/>
    </xf>
    <xf numFmtId="0" fontId="7" fillId="0" borderId="0" xfId="0" applyFont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14" fontId="10" fillId="2" borderId="2" xfId="0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14" fontId="11" fillId="2" borderId="2" xfId="0" applyNumberFormat="1" applyFont="1" applyFill="1" applyBorder="1" applyAlignment="1">
      <alignment horizontal="center" vertical="center"/>
    </xf>
    <xf numFmtId="176" fontId="12" fillId="2" borderId="2" xfId="0" applyNumberFormat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41" fontId="8" fillId="3" borderId="2" xfId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9" fontId="8" fillId="4" borderId="2" xfId="2" applyFont="1" applyFill="1" applyBorder="1" applyAlignment="1">
      <alignment horizontal="center" vertical="center"/>
    </xf>
    <xf numFmtId="9" fontId="8" fillId="4" borderId="2" xfId="2" applyFont="1" applyFill="1" applyBorder="1" applyAlignment="1">
      <alignment horizontal="center" vertical="center" wrapText="1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8" fontId="2" fillId="0" borderId="2" xfId="1" applyNumberFormat="1" applyFont="1" applyBorder="1">
      <alignment vertical="center"/>
    </xf>
    <xf numFmtId="9" fontId="15" fillId="0" borderId="2" xfId="2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78" fontId="2" fillId="0" borderId="2" xfId="0" applyNumberFormat="1" applyFont="1" applyBorder="1">
      <alignment vertical="center"/>
    </xf>
    <xf numFmtId="41" fontId="2" fillId="0" borderId="2" xfId="1" applyFont="1" applyBorder="1">
      <alignment vertical="center"/>
    </xf>
    <xf numFmtId="9" fontId="16" fillId="0" borderId="2" xfId="2" applyFont="1" applyBorder="1">
      <alignment vertical="center"/>
    </xf>
    <xf numFmtId="9" fontId="16" fillId="0" borderId="2" xfId="2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18" fillId="0" borderId="0" xfId="3" applyFont="1" applyAlignment="1">
      <alignment horizontal="left" vertical="center"/>
    </xf>
    <xf numFmtId="0" fontId="20" fillId="0" borderId="0" xfId="3" applyFont="1">
      <alignment vertical="center"/>
    </xf>
    <xf numFmtId="0" fontId="20" fillId="0" borderId="0" xfId="3" applyFont="1" applyAlignment="1">
      <alignment horizontal="center" vertical="center"/>
    </xf>
    <xf numFmtId="41" fontId="20" fillId="0" borderId="0" xfId="4" applyFont="1">
      <alignment vertical="center"/>
    </xf>
    <xf numFmtId="0" fontId="8" fillId="2" borderId="4" xfId="3" applyFont="1" applyFill="1" applyBorder="1" applyAlignment="1">
      <alignment horizontal="center" vertical="center"/>
    </xf>
    <xf numFmtId="0" fontId="13" fillId="2" borderId="4" xfId="3" applyFont="1" applyFill="1" applyBorder="1">
      <alignment vertical="center"/>
    </xf>
    <xf numFmtId="0" fontId="13" fillId="2" borderId="5" xfId="3" applyFont="1" applyFill="1" applyBorder="1">
      <alignment vertical="center"/>
    </xf>
    <xf numFmtId="0" fontId="13" fillId="2" borderId="5" xfId="3" applyFont="1" applyFill="1" applyBorder="1" applyAlignment="1">
      <alignment horizontal="center" vertical="center"/>
    </xf>
    <xf numFmtId="0" fontId="13" fillId="5" borderId="6" xfId="3" applyFont="1" applyFill="1" applyBorder="1" applyAlignment="1">
      <alignment horizontal="center" vertical="center"/>
    </xf>
    <xf numFmtId="0" fontId="13" fillId="5" borderId="7" xfId="3" applyFont="1" applyFill="1" applyBorder="1" applyAlignment="1">
      <alignment horizontal="center" vertical="center"/>
    </xf>
    <xf numFmtId="0" fontId="13" fillId="5" borderId="6" xfId="3" applyFont="1" applyFill="1" applyBorder="1" applyAlignment="1">
      <alignment horizontal="center" vertical="center" wrapText="1"/>
    </xf>
    <xf numFmtId="0" fontId="13" fillId="5" borderId="7" xfId="3" applyFont="1" applyFill="1" applyBorder="1" applyAlignment="1">
      <alignment horizontal="center" vertical="center" wrapText="1"/>
    </xf>
    <xf numFmtId="0" fontId="13" fillId="4" borderId="6" xfId="3" applyFont="1" applyFill="1" applyBorder="1" applyAlignment="1">
      <alignment horizontal="center" vertical="center"/>
    </xf>
    <xf numFmtId="0" fontId="13" fillId="4" borderId="7" xfId="3" applyFont="1" applyFill="1" applyBorder="1" applyAlignment="1">
      <alignment horizontal="center" vertical="center"/>
    </xf>
    <xf numFmtId="0" fontId="13" fillId="4" borderId="6" xfId="3" applyFont="1" applyFill="1" applyBorder="1" applyAlignment="1">
      <alignment horizontal="center" vertical="center"/>
    </xf>
    <xf numFmtId="0" fontId="13" fillId="4" borderId="7" xfId="3" applyFont="1" applyFill="1" applyBorder="1" applyAlignment="1">
      <alignment horizontal="center" vertical="center"/>
    </xf>
    <xf numFmtId="0" fontId="13" fillId="2" borderId="8" xfId="3" applyFont="1" applyFill="1" applyBorder="1" applyAlignment="1">
      <alignment horizontal="center" vertical="center" wrapText="1"/>
    </xf>
    <xf numFmtId="0" fontId="22" fillId="0" borderId="0" xfId="3" applyFont="1">
      <alignment vertical="center"/>
    </xf>
    <xf numFmtId="0" fontId="13" fillId="2" borderId="7" xfId="3" applyFont="1" applyFill="1" applyBorder="1" applyAlignment="1">
      <alignment horizontal="center" vertical="center"/>
    </xf>
    <xf numFmtId="0" fontId="13" fillId="2" borderId="7" xfId="3" applyFont="1" applyFill="1" applyBorder="1">
      <alignment vertical="center"/>
    </xf>
    <xf numFmtId="0" fontId="13" fillId="2" borderId="8" xfId="3" applyFont="1" applyFill="1" applyBorder="1">
      <alignment vertical="center"/>
    </xf>
    <xf numFmtId="0" fontId="13" fillId="2" borderId="8" xfId="3" applyFont="1" applyFill="1" applyBorder="1" applyAlignment="1">
      <alignment horizontal="center" vertical="center"/>
    </xf>
    <xf numFmtId="0" fontId="13" fillId="2" borderId="9" xfId="3" applyFont="1" applyFill="1" applyBorder="1" applyAlignment="1">
      <alignment horizontal="center" vertical="center"/>
    </xf>
    <xf numFmtId="0" fontId="13" fillId="4" borderId="9" xfId="3" applyFont="1" applyFill="1" applyBorder="1" applyAlignment="1">
      <alignment horizontal="center" vertical="center"/>
    </xf>
    <xf numFmtId="0" fontId="13" fillId="4" borderId="10" xfId="3" applyFont="1" applyFill="1" applyBorder="1" applyAlignment="1">
      <alignment horizontal="center" vertical="center"/>
    </xf>
    <xf numFmtId="176" fontId="23" fillId="6" borderId="11" xfId="3" applyNumberFormat="1" applyFont="1" applyFill="1" applyBorder="1" applyAlignment="1">
      <alignment horizontal="center" vertical="center"/>
    </xf>
    <xf numFmtId="176" fontId="23" fillId="6" borderId="11" xfId="3" applyNumberFormat="1" applyFont="1" applyFill="1" applyBorder="1" applyAlignment="1">
      <alignment horizontal="left" vertical="center"/>
    </xf>
    <xf numFmtId="176" fontId="23" fillId="6" borderId="12" xfId="3" applyNumberFormat="1" applyFont="1" applyFill="1" applyBorder="1" applyAlignment="1">
      <alignment horizontal="left" vertical="center"/>
    </xf>
    <xf numFmtId="178" fontId="23" fillId="6" borderId="12" xfId="3" applyNumberFormat="1" applyFont="1" applyFill="1" applyBorder="1" applyAlignment="1">
      <alignment horizontal="center" vertical="center"/>
    </xf>
    <xf numFmtId="178" fontId="23" fillId="6" borderId="12" xfId="3" applyNumberFormat="1" applyFont="1" applyFill="1" applyBorder="1" applyAlignment="1">
      <alignment horizontal="left" vertical="center"/>
    </xf>
    <xf numFmtId="178" fontId="24" fillId="6" borderId="12" xfId="3" applyNumberFormat="1" applyFont="1" applyFill="1" applyBorder="1" applyAlignment="1">
      <alignment horizontal="left" vertical="center"/>
    </xf>
    <xf numFmtId="178" fontId="24" fillId="6" borderId="13" xfId="3" applyNumberFormat="1" applyFont="1" applyFill="1" applyBorder="1" applyAlignment="1">
      <alignment horizontal="left" vertical="center"/>
    </xf>
    <xf numFmtId="9" fontId="24" fillId="6" borderId="12" xfId="5" applyFont="1" applyFill="1" applyBorder="1" applyAlignment="1">
      <alignment horizontal="left" vertical="center"/>
    </xf>
    <xf numFmtId="178" fontId="23" fillId="6" borderId="12" xfId="4" applyNumberFormat="1" applyFont="1" applyFill="1" applyBorder="1" applyAlignment="1">
      <alignment horizontal="left" vertical="center"/>
    </xf>
    <xf numFmtId="176" fontId="22" fillId="0" borderId="0" xfId="3" applyNumberFormat="1" applyFont="1" applyAlignment="1">
      <alignment horizontal="left" vertical="center"/>
    </xf>
    <xf numFmtId="176" fontId="23" fillId="6" borderId="14" xfId="3" applyNumberFormat="1" applyFont="1" applyFill="1" applyBorder="1" applyAlignment="1">
      <alignment horizontal="center" vertical="center"/>
    </xf>
    <xf numFmtId="176" fontId="23" fillId="6" borderId="14" xfId="3" applyNumberFormat="1" applyFont="1" applyFill="1" applyBorder="1" applyAlignment="1">
      <alignment horizontal="left" vertical="center"/>
    </xf>
    <xf numFmtId="176" fontId="25" fillId="6" borderId="15" xfId="3" applyNumberFormat="1" applyFont="1" applyFill="1" applyBorder="1" applyAlignment="1">
      <alignment horizontal="center" vertical="center"/>
    </xf>
    <xf numFmtId="176" fontId="23" fillId="6" borderId="15" xfId="3" applyNumberFormat="1" applyFont="1" applyFill="1" applyBorder="1" applyAlignment="1">
      <alignment horizontal="left" vertical="center"/>
    </xf>
    <xf numFmtId="178" fontId="23" fillId="6" borderId="15" xfId="3" applyNumberFormat="1" applyFont="1" applyFill="1" applyBorder="1" applyAlignment="1">
      <alignment horizontal="center" vertical="center"/>
    </xf>
    <xf numFmtId="178" fontId="23" fillId="6" borderId="15" xfId="3" applyNumberFormat="1" applyFont="1" applyFill="1" applyBorder="1" applyAlignment="1">
      <alignment horizontal="left" vertical="center"/>
    </xf>
    <xf numFmtId="178" fontId="24" fillId="6" borderId="15" xfId="3" applyNumberFormat="1" applyFont="1" applyFill="1" applyBorder="1" applyAlignment="1">
      <alignment horizontal="left" vertical="center"/>
    </xf>
    <xf numFmtId="178" fontId="24" fillId="6" borderId="16" xfId="3" applyNumberFormat="1" applyFont="1" applyFill="1" applyBorder="1" applyAlignment="1">
      <alignment horizontal="left" vertical="center"/>
    </xf>
    <xf numFmtId="9" fontId="24" fillId="6" borderId="15" xfId="5" applyFont="1" applyFill="1" applyBorder="1" applyAlignment="1">
      <alignment horizontal="left" vertical="center"/>
    </xf>
    <xf numFmtId="178" fontId="23" fillId="6" borderId="15" xfId="4" applyNumberFormat="1" applyFont="1" applyFill="1" applyBorder="1" applyAlignment="1">
      <alignment horizontal="left" vertical="center"/>
    </xf>
    <xf numFmtId="178" fontId="23" fillId="6" borderId="16" xfId="4" applyNumberFormat="1" applyFont="1" applyFill="1" applyBorder="1" applyAlignment="1">
      <alignment horizontal="left" vertical="center"/>
    </xf>
    <xf numFmtId="0" fontId="26" fillId="0" borderId="17" xfId="3" applyFont="1" applyBorder="1" applyAlignment="1">
      <alignment horizontal="left" vertical="center"/>
    </xf>
    <xf numFmtId="0" fontId="26" fillId="0" borderId="17" xfId="3" applyFont="1" applyBorder="1" applyAlignment="1">
      <alignment horizontal="center" vertical="center"/>
    </xf>
    <xf numFmtId="0" fontId="26" fillId="0" borderId="18" xfId="3" applyFont="1" applyBorder="1">
      <alignment vertical="center"/>
    </xf>
    <xf numFmtId="0" fontId="26" fillId="0" borderId="18" xfId="3" applyFont="1" applyBorder="1" applyAlignment="1">
      <alignment horizontal="center" vertical="center"/>
    </xf>
    <xf numFmtId="41" fontId="26" fillId="0" borderId="18" xfId="4" applyFont="1" applyBorder="1" applyAlignment="1">
      <alignment horizontal="center" vertical="center"/>
    </xf>
    <xf numFmtId="41" fontId="26" fillId="0" borderId="19" xfId="4" applyFont="1" applyBorder="1" applyAlignment="1">
      <alignment horizontal="center" vertical="center"/>
    </xf>
    <xf numFmtId="9" fontId="26" fillId="0" borderId="18" xfId="5" applyFont="1" applyBorder="1" applyAlignment="1">
      <alignment horizontal="center" vertical="center"/>
    </xf>
    <xf numFmtId="41" fontId="26" fillId="0" borderId="19" xfId="4" applyFont="1" applyBorder="1">
      <alignment vertical="center"/>
    </xf>
    <xf numFmtId="0" fontId="28" fillId="7" borderId="18" xfId="3" applyFont="1" applyFill="1" applyBorder="1" applyAlignment="1">
      <alignment horizontal="center" vertical="center"/>
    </xf>
    <xf numFmtId="0" fontId="29" fillId="0" borderId="0" xfId="3" applyFont="1">
      <alignment vertical="center"/>
    </xf>
    <xf numFmtId="41" fontId="26" fillId="8" borderId="18" xfId="4" applyFont="1" applyFill="1" applyBorder="1" applyAlignment="1">
      <alignment horizontal="center" vertical="center"/>
    </xf>
    <xf numFmtId="0" fontId="26" fillId="0" borderId="19" xfId="4" applyNumberFormat="1" applyFont="1" applyBorder="1">
      <alignment vertical="center"/>
    </xf>
    <xf numFmtId="0" fontId="26" fillId="0" borderId="17" xfId="3" applyFont="1" applyBorder="1">
      <alignment vertical="center"/>
    </xf>
    <xf numFmtId="0" fontId="26" fillId="0" borderId="19" xfId="3" applyFont="1" applyBorder="1">
      <alignment vertical="center"/>
    </xf>
  </cellXfs>
  <cellStyles count="6">
    <cellStyle name="백분율" xfId="2" builtinId="5"/>
    <cellStyle name="백분율 2" xfId="5" xr:uid="{AF9F9733-1FB6-458A-9170-B844D82421AB}"/>
    <cellStyle name="쉼표 [0]" xfId="1" builtinId="6"/>
    <cellStyle name="쉼표 [0] 2" xfId="4" xr:uid="{6DEF4736-A82D-46F1-8C83-6BBDFF8F7CE0}"/>
    <cellStyle name="표준" xfId="0" builtinId="0"/>
    <cellStyle name="표준 2" xfId="3" xr:uid="{93B18076-440F-4C22-8412-54942F784DAC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10AA3-7847-43FF-850D-8AA0BAEE724E}">
  <sheetPr>
    <pageSetUpPr fitToPage="1"/>
  </sheetPr>
  <dimension ref="A1:O238"/>
  <sheetViews>
    <sheetView showGridLines="0" topLeftCell="B1" zoomScale="90" zoomScaleNormal="90" workbookViewId="0">
      <pane ySplit="3" topLeftCell="A4" activePane="bottomLeft" state="frozen"/>
      <selection pane="bottomLeft" activeCell="S14" sqref="S14"/>
    </sheetView>
  </sheetViews>
  <sheetFormatPr defaultRowHeight="13" x14ac:dyDescent="0.3"/>
  <cols>
    <col min="1" max="1" width="5.6640625" style="1" hidden="1" customWidth="1"/>
    <col min="2" max="2" width="27.6640625" style="26" customWidth="1"/>
    <col min="3" max="3" width="12.25" style="27" customWidth="1"/>
    <col min="4" max="4" width="8.6640625" style="27"/>
    <col min="5" max="5" width="10.33203125" style="28" customWidth="1"/>
    <col min="6" max="6" width="9.58203125" style="29" customWidth="1"/>
    <col min="7" max="7" width="9.58203125" style="28" customWidth="1"/>
    <col min="8" max="8" width="8.33203125" style="30" customWidth="1"/>
    <col min="9" max="9" width="13.08203125" style="26" bestFit="1" customWidth="1"/>
    <col min="10" max="10" width="10.75" style="26" customWidth="1"/>
    <col min="11" max="11" width="10.9140625" style="26" customWidth="1"/>
    <col min="12" max="12" width="13.9140625" style="35" customWidth="1"/>
    <col min="13" max="13" width="11.58203125" style="26" customWidth="1"/>
    <col min="14" max="14" width="8.6640625" style="36"/>
    <col min="15" max="15" width="10.75" style="37" customWidth="1"/>
    <col min="16" max="16" width="8.9140625" style="1" customWidth="1"/>
    <col min="17" max="16384" width="8.6640625" style="1"/>
  </cols>
  <sheetData>
    <row r="1" spans="1:15" x14ac:dyDescent="0.3">
      <c r="B1" s="1"/>
      <c r="C1" s="2"/>
      <c r="D1" s="2"/>
      <c r="E1" s="3"/>
      <c r="F1" s="2"/>
      <c r="G1" s="3"/>
      <c r="H1" s="4"/>
      <c r="I1" s="5"/>
      <c r="J1" s="5"/>
      <c r="K1" s="5"/>
      <c r="L1" s="5"/>
      <c r="M1" s="5"/>
      <c r="N1" s="6"/>
      <c r="O1" s="7"/>
    </row>
    <row r="2" spans="1:15" ht="26" customHeight="1" x14ac:dyDescent="0.3">
      <c r="B2" s="8" t="s">
        <v>0</v>
      </c>
      <c r="C2" s="8"/>
      <c r="D2" s="8"/>
      <c r="E2" s="8"/>
      <c r="F2" s="8"/>
      <c r="G2" s="9"/>
      <c r="H2" s="10"/>
      <c r="I2" s="11" t="s">
        <v>1</v>
      </c>
      <c r="J2" s="11"/>
      <c r="K2" s="11"/>
      <c r="L2" s="11"/>
      <c r="M2" s="11"/>
      <c r="N2" s="12" t="s">
        <v>2</v>
      </c>
      <c r="O2" s="12"/>
    </row>
    <row r="3" spans="1:15" s="2" customFormat="1" ht="32.5" x14ac:dyDescent="0.3">
      <c r="A3" s="13" t="s">
        <v>3</v>
      </c>
      <c r="B3" s="14" t="s">
        <v>4</v>
      </c>
      <c r="C3" s="14" t="s">
        <v>5</v>
      </c>
      <c r="D3" s="15" t="s">
        <v>6</v>
      </c>
      <c r="E3" s="16" t="s">
        <v>7</v>
      </c>
      <c r="F3" s="17" t="s">
        <v>8</v>
      </c>
      <c r="G3" s="18" t="s">
        <v>9</v>
      </c>
      <c r="H3" s="19" t="s">
        <v>10</v>
      </c>
      <c r="I3" s="20" t="s">
        <v>11</v>
      </c>
      <c r="J3" s="21" t="s">
        <v>12</v>
      </c>
      <c r="K3" s="21" t="s">
        <v>13</v>
      </c>
      <c r="L3" s="22" t="s">
        <v>14</v>
      </c>
      <c r="M3" s="23" t="s">
        <v>15</v>
      </c>
      <c r="N3" s="24" t="s">
        <v>16</v>
      </c>
      <c r="O3" s="25" t="s">
        <v>17</v>
      </c>
    </row>
    <row r="4" spans="1:15" x14ac:dyDescent="0.3">
      <c r="A4" s="1" t="s">
        <v>277</v>
      </c>
      <c r="B4" s="26" t="s">
        <v>278</v>
      </c>
      <c r="C4" s="27" t="s">
        <v>24</v>
      </c>
      <c r="D4" s="27" t="s">
        <v>21</v>
      </c>
      <c r="E4" s="28">
        <v>45790</v>
      </c>
      <c r="F4" s="29">
        <v>5</v>
      </c>
      <c r="H4" s="30">
        <v>1</v>
      </c>
      <c r="I4" s="31">
        <v>2312900.2899999996</v>
      </c>
      <c r="J4" s="31">
        <v>4573</v>
      </c>
      <c r="K4" s="31">
        <v>4493</v>
      </c>
      <c r="L4" s="31">
        <v>2611750.0199999996</v>
      </c>
      <c r="M4" s="31">
        <v>4700000</v>
      </c>
      <c r="N4" s="32">
        <f>IFERROR(L4/I4,"")</f>
        <v>1.1292099496429222</v>
      </c>
      <c r="O4" s="32">
        <f>IF(D4="a",K4/25000,IF(D4="b",K4/15000,IF(D4="c",K4/5000)))/H4</f>
        <v>0.89859999999999995</v>
      </c>
    </row>
    <row r="5" spans="1:15" x14ac:dyDescent="0.3">
      <c r="B5" s="26" t="s">
        <v>468</v>
      </c>
      <c r="C5" s="27" t="s">
        <v>63</v>
      </c>
      <c r="D5" s="27" t="s">
        <v>21</v>
      </c>
      <c r="E5" s="28">
        <v>46092</v>
      </c>
      <c r="F5" s="29" t="s">
        <v>459</v>
      </c>
      <c r="H5" s="30">
        <v>1</v>
      </c>
      <c r="I5" s="34">
        <v>0</v>
      </c>
      <c r="J5" s="34">
        <v>5</v>
      </c>
      <c r="K5" s="34">
        <v>5</v>
      </c>
      <c r="L5" s="31">
        <v>0</v>
      </c>
      <c r="M5" s="34">
        <v>3000000</v>
      </c>
      <c r="N5" s="32" t="str">
        <f>IFERROR(L5/I5,"")</f>
        <v/>
      </c>
      <c r="O5" s="32">
        <f>IF(D5="a",K5/25000,IF(D5="b",K5/15000,IF(D5="c",K5/5000)))/H5</f>
        <v>1E-3</v>
      </c>
    </row>
    <row r="6" spans="1:15" x14ac:dyDescent="0.3">
      <c r="B6" s="26" t="s">
        <v>433</v>
      </c>
      <c r="C6" s="27" t="s">
        <v>63</v>
      </c>
      <c r="D6" s="27" t="s">
        <v>21</v>
      </c>
      <c r="E6" s="28">
        <v>45910</v>
      </c>
      <c r="F6" s="29">
        <v>9</v>
      </c>
      <c r="H6" s="30">
        <v>1</v>
      </c>
      <c r="I6" s="34">
        <v>623185.95000000019</v>
      </c>
      <c r="J6" s="34">
        <v>1854</v>
      </c>
      <c r="K6" s="34">
        <v>1854</v>
      </c>
      <c r="L6" s="31">
        <v>412998.52</v>
      </c>
      <c r="M6" s="31">
        <v>3000000</v>
      </c>
      <c r="N6" s="32">
        <f>IFERROR(L6/I6,"")</f>
        <v>0.66272116693259842</v>
      </c>
      <c r="O6" s="32">
        <f>IF(D6="a",K6/25000,IF(D6="b",K6/15000,IF(D6="c",K6/5000)))/H6</f>
        <v>0.37080000000000002</v>
      </c>
    </row>
    <row r="7" spans="1:15" x14ac:dyDescent="0.3">
      <c r="A7" s="1" t="s">
        <v>153</v>
      </c>
      <c r="B7" s="26" t="s">
        <v>154</v>
      </c>
      <c r="C7" s="27" t="s">
        <v>24</v>
      </c>
      <c r="D7" s="27" t="s">
        <v>35</v>
      </c>
      <c r="E7" s="28">
        <v>45729</v>
      </c>
      <c r="F7" s="29">
        <v>3</v>
      </c>
      <c r="H7" s="30">
        <v>1</v>
      </c>
      <c r="I7" s="31">
        <v>1596984.98</v>
      </c>
      <c r="J7" s="31">
        <v>5092</v>
      </c>
      <c r="K7" s="31">
        <v>5092</v>
      </c>
      <c r="L7" s="31">
        <v>1724164.04</v>
      </c>
      <c r="M7" s="31">
        <v>8018239.7800000003</v>
      </c>
      <c r="N7" s="32">
        <f>IFERROR(L7/I7,"")</f>
        <v>1.079636979428573</v>
      </c>
      <c r="O7" s="32">
        <f>IF(D7="a",K7/25000,IF(D7="b",K7/15000,IF(D7="c",K7/5000)))/H7</f>
        <v>0.33946666666666669</v>
      </c>
    </row>
    <row r="8" spans="1:15" x14ac:dyDescent="0.3">
      <c r="A8" s="1" t="s">
        <v>52</v>
      </c>
      <c r="B8" s="26" t="s">
        <v>53</v>
      </c>
      <c r="C8" s="27" t="s">
        <v>34</v>
      </c>
      <c r="D8" s="27" t="s">
        <v>35</v>
      </c>
      <c r="E8" s="28">
        <v>45716</v>
      </c>
      <c r="F8" s="29">
        <v>2</v>
      </c>
      <c r="H8" s="30">
        <v>1</v>
      </c>
      <c r="I8" s="31">
        <v>3712715.93</v>
      </c>
      <c r="J8" s="31">
        <v>10388</v>
      </c>
      <c r="K8" s="31">
        <v>10345</v>
      </c>
      <c r="L8" s="31">
        <v>4187035.8</v>
      </c>
      <c r="M8" s="31">
        <v>7000000</v>
      </c>
      <c r="N8" s="32">
        <f>IFERROR(L8/I8,"")</f>
        <v>1.1277554973078696</v>
      </c>
      <c r="O8" s="32">
        <f>IF(D8="a",K8/25000,IF(D8="b",K8/15000,IF(D8="c",K8/5000)))/H8</f>
        <v>0.68966666666666665</v>
      </c>
    </row>
    <row r="9" spans="1:15" x14ac:dyDescent="0.3">
      <c r="B9" s="26" t="s">
        <v>439</v>
      </c>
      <c r="C9" s="27" t="s">
        <v>63</v>
      </c>
      <c r="D9" s="27" t="s">
        <v>21</v>
      </c>
      <c r="E9" s="28">
        <v>45910</v>
      </c>
      <c r="F9" s="29">
        <v>9</v>
      </c>
      <c r="H9" s="30">
        <v>1</v>
      </c>
      <c r="I9" s="34">
        <v>54131.560000000012</v>
      </c>
      <c r="J9" s="34">
        <v>154</v>
      </c>
      <c r="K9" s="34">
        <v>154</v>
      </c>
      <c r="L9" s="31">
        <v>53506.090000000004</v>
      </c>
      <c r="M9" s="31">
        <v>3000000</v>
      </c>
      <c r="N9" s="32">
        <f>IFERROR(L9/I9,"")</f>
        <v>0.98844537271787458</v>
      </c>
      <c r="O9" s="32">
        <f>IF(D9="a",K9/25000,IF(D9="b",K9/15000,IF(D9="c",K9/5000)))/H9</f>
        <v>3.0800000000000001E-2</v>
      </c>
    </row>
    <row r="10" spans="1:15" x14ac:dyDescent="0.3">
      <c r="A10" s="1" t="s">
        <v>249</v>
      </c>
      <c r="B10" s="26" t="s">
        <v>250</v>
      </c>
      <c r="C10" s="27" t="s">
        <v>198</v>
      </c>
      <c r="D10" s="27" t="s">
        <v>21</v>
      </c>
      <c r="E10" s="28">
        <v>45777</v>
      </c>
      <c r="F10" s="29">
        <v>4</v>
      </c>
      <c r="H10" s="30">
        <v>1</v>
      </c>
      <c r="I10" s="31">
        <v>198852.83000000005</v>
      </c>
      <c r="J10" s="31">
        <v>549</v>
      </c>
      <c r="K10" s="31">
        <v>546</v>
      </c>
      <c r="L10" s="31">
        <v>224856.94</v>
      </c>
      <c r="M10" s="31">
        <v>1850000</v>
      </c>
      <c r="N10" s="32">
        <f>IFERROR(L10/I10,"")</f>
        <v>1.1307706307222278</v>
      </c>
      <c r="O10" s="32">
        <f>IF(D10="a",K10/25000,IF(D10="b",K10/15000,IF(D10="c",K10/5000)))/H10</f>
        <v>0.10920000000000001</v>
      </c>
    </row>
    <row r="11" spans="1:15" x14ac:dyDescent="0.3">
      <c r="A11" s="1" t="s">
        <v>375</v>
      </c>
      <c r="B11" s="26" t="s">
        <v>376</v>
      </c>
      <c r="C11" s="27" t="s">
        <v>198</v>
      </c>
      <c r="D11" s="27" t="s">
        <v>21</v>
      </c>
      <c r="E11" s="28">
        <v>45831</v>
      </c>
      <c r="F11" s="29">
        <v>6</v>
      </c>
      <c r="H11" s="30">
        <v>1</v>
      </c>
      <c r="I11" s="31">
        <v>149865.34999999998</v>
      </c>
      <c r="J11" s="31">
        <v>437</v>
      </c>
      <c r="K11" s="31">
        <v>437</v>
      </c>
      <c r="L11" s="31">
        <v>162429.33000000002</v>
      </c>
      <c r="M11" s="31">
        <v>3000000</v>
      </c>
      <c r="N11" s="32">
        <f>IFERROR(L11/I11,"")</f>
        <v>1.0838351226617764</v>
      </c>
      <c r="O11" s="32">
        <f>IF(D11="a",K11/25000,IF(D11="b",K11/15000,IF(D11="c",K11/5000)))/H11</f>
        <v>8.7400000000000005E-2</v>
      </c>
    </row>
    <row r="12" spans="1:15" x14ac:dyDescent="0.3">
      <c r="A12" s="1" t="s">
        <v>221</v>
      </c>
      <c r="B12" s="26" t="s">
        <v>222</v>
      </c>
      <c r="C12" s="27" t="s">
        <v>27</v>
      </c>
      <c r="D12" s="27" t="s">
        <v>35</v>
      </c>
      <c r="E12" s="28">
        <v>45750</v>
      </c>
      <c r="F12" s="29">
        <v>4</v>
      </c>
      <c r="H12" s="30">
        <v>1</v>
      </c>
      <c r="I12" s="31">
        <v>3423561.9000000018</v>
      </c>
      <c r="J12" s="31">
        <v>10337</v>
      </c>
      <c r="K12" s="31">
        <v>10241</v>
      </c>
      <c r="L12" s="31">
        <v>3825285.4600000004</v>
      </c>
      <c r="M12" s="31">
        <v>6000000</v>
      </c>
      <c r="N12" s="32">
        <f>IFERROR(L12/I12,"")</f>
        <v>1.1173408198052439</v>
      </c>
      <c r="O12" s="32">
        <f>IF(D12="a",K12/25000,IF(D12="b",K12/15000,IF(D12="c",K12/5000)))/H12</f>
        <v>0.6827333333333333</v>
      </c>
    </row>
    <row r="13" spans="1:15" x14ac:dyDescent="0.3">
      <c r="A13" s="1" t="s">
        <v>174</v>
      </c>
      <c r="B13" s="26" t="s">
        <v>175</v>
      </c>
      <c r="C13" s="27" t="s">
        <v>27</v>
      </c>
      <c r="D13" s="27" t="s">
        <v>21</v>
      </c>
      <c r="E13" s="28">
        <v>45771</v>
      </c>
      <c r="F13" s="29">
        <v>4</v>
      </c>
      <c r="H13" s="30">
        <v>1</v>
      </c>
      <c r="I13" s="31">
        <v>3124078.419999985</v>
      </c>
      <c r="J13" s="31">
        <v>8367</v>
      </c>
      <c r="K13" s="31">
        <v>8319</v>
      </c>
      <c r="L13" s="31">
        <v>1924919.0699999998</v>
      </c>
      <c r="M13" s="31">
        <v>6000000</v>
      </c>
      <c r="N13" s="32">
        <f>IFERROR(L13/I13,"")</f>
        <v>0.61615581019890309</v>
      </c>
      <c r="O13" s="32">
        <f>IF(D13="a",K13/25000,IF(D13="b",K13/15000,IF(D13="c",K13/5000)))/H13</f>
        <v>1.6637999999999999</v>
      </c>
    </row>
    <row r="14" spans="1:15" x14ac:dyDescent="0.3">
      <c r="A14" s="1" t="s">
        <v>207</v>
      </c>
      <c r="B14" s="26" t="s">
        <v>208</v>
      </c>
      <c r="C14" s="27" t="s">
        <v>27</v>
      </c>
      <c r="D14" s="27" t="s">
        <v>21</v>
      </c>
      <c r="E14" s="28">
        <v>45775</v>
      </c>
      <c r="F14" s="29">
        <v>4</v>
      </c>
      <c r="H14" s="30">
        <v>1</v>
      </c>
      <c r="I14" s="31">
        <v>1411539.0300000012</v>
      </c>
      <c r="J14" s="31">
        <v>5018</v>
      </c>
      <c r="K14" s="31">
        <v>5001</v>
      </c>
      <c r="L14" s="31">
        <v>1809355.7199999997</v>
      </c>
      <c r="M14" s="31">
        <v>3000000</v>
      </c>
      <c r="N14" s="32">
        <f>IFERROR(L14/I14,"")</f>
        <v>1.281831873965255</v>
      </c>
      <c r="O14" s="32">
        <f>IF(D14="a",K14/25000,IF(D14="b",K14/15000,IF(D14="c",K14/5000)))/H14</f>
        <v>1.0002</v>
      </c>
    </row>
    <row r="15" spans="1:15" x14ac:dyDescent="0.3">
      <c r="A15" s="1" t="s">
        <v>269</v>
      </c>
      <c r="B15" s="26" t="s">
        <v>270</v>
      </c>
      <c r="C15" s="27" t="s">
        <v>27</v>
      </c>
      <c r="D15" s="27" t="s">
        <v>21</v>
      </c>
      <c r="E15" s="28">
        <v>45793</v>
      </c>
      <c r="F15" s="29">
        <v>5</v>
      </c>
      <c r="H15" s="30">
        <v>1</v>
      </c>
      <c r="I15" s="31">
        <v>1752956.6799999964</v>
      </c>
      <c r="J15" s="31">
        <v>5636</v>
      </c>
      <c r="K15" s="31">
        <v>4981</v>
      </c>
      <c r="L15" s="31">
        <v>1543405.23</v>
      </c>
      <c r="M15" s="31">
        <v>3000000</v>
      </c>
      <c r="N15" s="32">
        <f>IFERROR(L15/I15,"")</f>
        <v>0.88045828377230817</v>
      </c>
      <c r="O15" s="32">
        <f>IF(D15="a",K15/25000,IF(D15="b",K15/15000,IF(D15="c",K15/5000)))/H15</f>
        <v>0.99619999999999997</v>
      </c>
    </row>
    <row r="16" spans="1:15" x14ac:dyDescent="0.3">
      <c r="A16" s="1" t="s">
        <v>86</v>
      </c>
      <c r="B16" s="26" t="s">
        <v>87</v>
      </c>
      <c r="C16" s="27" t="s">
        <v>27</v>
      </c>
      <c r="D16" s="27" t="s">
        <v>21</v>
      </c>
      <c r="E16" s="28">
        <v>45741</v>
      </c>
      <c r="F16" s="29">
        <v>3</v>
      </c>
      <c r="G16" s="28">
        <v>46254</v>
      </c>
      <c r="H16" s="30">
        <v>2</v>
      </c>
      <c r="I16" s="31">
        <v>3381069.9699999965</v>
      </c>
      <c r="J16" s="31">
        <v>10678</v>
      </c>
      <c r="K16" s="31">
        <v>9513</v>
      </c>
      <c r="L16" s="31">
        <v>3826500</v>
      </c>
      <c r="M16" s="31">
        <v>4000000</v>
      </c>
      <c r="N16" s="32">
        <f>IFERROR(L16/I16,"")</f>
        <v>1.1317423283020682</v>
      </c>
      <c r="O16" s="32">
        <f>IF(D16="a",K16/25000,IF(D16="b",K16/15000,IF(D16="c",K16/5000)))/H16</f>
        <v>0.95130000000000003</v>
      </c>
    </row>
    <row r="17" spans="1:15" x14ac:dyDescent="0.3">
      <c r="A17" s="1" t="s">
        <v>253</v>
      </c>
      <c r="B17" s="26" t="s">
        <v>254</v>
      </c>
      <c r="C17" s="27" t="s">
        <v>27</v>
      </c>
      <c r="D17" s="27" t="s">
        <v>21</v>
      </c>
      <c r="E17" s="28">
        <v>45770</v>
      </c>
      <c r="F17" s="29">
        <v>4</v>
      </c>
      <c r="H17" s="30">
        <v>1</v>
      </c>
      <c r="I17" s="31">
        <v>101947.23</v>
      </c>
      <c r="J17" s="31">
        <v>346</v>
      </c>
      <c r="K17" s="31">
        <v>346</v>
      </c>
      <c r="L17" s="31">
        <v>115200.37999999999</v>
      </c>
      <c r="M17" s="31">
        <v>3000000</v>
      </c>
      <c r="N17" s="32">
        <f>IFERROR(L17/I17,"")</f>
        <v>1.1300000990708623</v>
      </c>
      <c r="O17" s="32">
        <f>IF(D17="a",K17/25000,IF(D17="b",K17/15000,IF(D17="c",K17/5000)))/H17</f>
        <v>6.9199999999999998E-2</v>
      </c>
    </row>
    <row r="18" spans="1:15" x14ac:dyDescent="0.3">
      <c r="A18" s="1" t="s">
        <v>168</v>
      </c>
      <c r="B18" s="26" t="s">
        <v>169</v>
      </c>
      <c r="C18" s="27" t="s">
        <v>27</v>
      </c>
      <c r="D18" s="27" t="s">
        <v>35</v>
      </c>
      <c r="E18" s="28">
        <v>45719</v>
      </c>
      <c r="F18" s="29">
        <v>3</v>
      </c>
      <c r="H18" s="30">
        <v>1</v>
      </c>
      <c r="I18" s="31">
        <v>259455.62</v>
      </c>
      <c r="J18" s="31">
        <v>785</v>
      </c>
      <c r="K18" s="31">
        <v>785</v>
      </c>
      <c r="L18" s="31">
        <v>292841.5</v>
      </c>
      <c r="M18" s="31">
        <v>12000000</v>
      </c>
      <c r="N18" s="32">
        <f>IFERROR(L18/I18,"")</f>
        <v>1.1286766499796768</v>
      </c>
      <c r="O18" s="32">
        <f>IF(D18="a",K18/25000,IF(D18="b",K18/15000,IF(D18="c",K18/5000)))/H18</f>
        <v>5.2333333333333336E-2</v>
      </c>
    </row>
    <row r="19" spans="1:15" x14ac:dyDescent="0.3">
      <c r="A19" s="1" t="s">
        <v>317</v>
      </c>
      <c r="B19" s="26" t="s">
        <v>318</v>
      </c>
      <c r="C19" s="27" t="s">
        <v>27</v>
      </c>
      <c r="D19" s="27" t="s">
        <v>21</v>
      </c>
      <c r="E19" s="28">
        <v>45786</v>
      </c>
      <c r="F19" s="29">
        <v>5</v>
      </c>
      <c r="H19" s="30">
        <v>1</v>
      </c>
      <c r="I19" s="31">
        <v>442430.44000000099</v>
      </c>
      <c r="J19" s="31">
        <v>1241</v>
      </c>
      <c r="K19" s="31">
        <v>1209</v>
      </c>
      <c r="L19" s="31">
        <v>500782.63</v>
      </c>
      <c r="M19" s="31">
        <v>3000000</v>
      </c>
      <c r="N19" s="32">
        <f>IFERROR(L19/I19,"")</f>
        <v>1.1318900887560965</v>
      </c>
      <c r="O19" s="32">
        <f>IF(D19="a",K19/25000,IF(D19="b",K19/15000,IF(D19="c",K19/5000)))/H19</f>
        <v>0.24179999999999999</v>
      </c>
    </row>
    <row r="20" spans="1:15" x14ac:dyDescent="0.3">
      <c r="A20" s="1" t="s">
        <v>335</v>
      </c>
      <c r="B20" s="26" t="s">
        <v>336</v>
      </c>
      <c r="C20" s="27" t="s">
        <v>27</v>
      </c>
      <c r="D20" s="27" t="s">
        <v>21</v>
      </c>
      <c r="E20" s="28">
        <v>45812</v>
      </c>
      <c r="F20" s="29">
        <v>6</v>
      </c>
      <c r="H20" s="30">
        <v>1</v>
      </c>
      <c r="I20" s="31">
        <v>3365188.8500000094</v>
      </c>
      <c r="J20" s="31">
        <v>9696</v>
      </c>
      <c r="K20" s="31">
        <v>8521</v>
      </c>
      <c r="L20" s="31">
        <v>3802659.8599999994</v>
      </c>
      <c r="M20" s="31">
        <v>3802659.7899999996</v>
      </c>
      <c r="N20" s="32">
        <f>IFERROR(L20/I20,"")</f>
        <v>1.1299989479045103</v>
      </c>
      <c r="O20" s="32">
        <f>IF(D20="a",K20/25000,IF(D20="b",K20/15000,IF(D20="c",K20/5000)))/H20</f>
        <v>1.7041999999999999</v>
      </c>
    </row>
    <row r="21" spans="1:15" x14ac:dyDescent="0.3">
      <c r="B21" s="26" t="s">
        <v>449</v>
      </c>
      <c r="C21" s="27" t="s">
        <v>27</v>
      </c>
      <c r="D21" s="27" t="s">
        <v>35</v>
      </c>
      <c r="E21" s="28">
        <v>46014</v>
      </c>
      <c r="F21" s="29">
        <v>12</v>
      </c>
      <c r="H21" s="30">
        <v>1</v>
      </c>
      <c r="I21" s="34">
        <v>427482.39999999997</v>
      </c>
      <c r="J21" s="34">
        <v>2338</v>
      </c>
      <c r="K21" s="34">
        <v>2338</v>
      </c>
      <c r="L21" s="31">
        <v>461609.66</v>
      </c>
      <c r="M21" s="31">
        <v>6000000</v>
      </c>
      <c r="N21" s="32">
        <f>IFERROR(L21/I21,"")</f>
        <v>1.0798331346506898</v>
      </c>
      <c r="O21" s="32">
        <f>IF(D21="a",K21/25000,IF(D21="b",K21/15000,IF(D21="c",K21/5000)))/H21</f>
        <v>0.15586666666666665</v>
      </c>
    </row>
    <row r="22" spans="1:15" x14ac:dyDescent="0.3">
      <c r="A22" s="1" t="s">
        <v>180</v>
      </c>
      <c r="B22" s="26" t="s">
        <v>181</v>
      </c>
      <c r="C22" s="27" t="s">
        <v>27</v>
      </c>
      <c r="D22" s="27" t="s">
        <v>21</v>
      </c>
      <c r="E22" s="28">
        <v>45758</v>
      </c>
      <c r="F22" s="29">
        <v>4</v>
      </c>
      <c r="G22" s="28">
        <v>46253</v>
      </c>
      <c r="H22" s="30">
        <v>2</v>
      </c>
      <c r="I22" s="31">
        <v>5381026.5500000315</v>
      </c>
      <c r="J22" s="31">
        <v>16905</v>
      </c>
      <c r="K22" s="31">
        <v>14964</v>
      </c>
      <c r="L22" s="31">
        <v>6200000</v>
      </c>
      <c r="M22" s="31">
        <v>7000000</v>
      </c>
      <c r="N22" s="32">
        <f>IFERROR(L22/I22,"")</f>
        <v>1.1521965079321088</v>
      </c>
      <c r="O22" s="32">
        <f>IF(D22="a",K22/25000,IF(D22="b",K22/15000,IF(D22="c",K22/5000)))/H22</f>
        <v>1.4964</v>
      </c>
    </row>
    <row r="23" spans="1:15" x14ac:dyDescent="0.3">
      <c r="A23" s="1" t="s">
        <v>137</v>
      </c>
      <c r="B23" s="26" t="s">
        <v>138</v>
      </c>
      <c r="C23" s="27" t="s">
        <v>27</v>
      </c>
      <c r="D23" s="27" t="s">
        <v>28</v>
      </c>
      <c r="E23" s="28">
        <v>45747</v>
      </c>
      <c r="F23" s="29">
        <v>3</v>
      </c>
      <c r="G23" s="28">
        <v>46472</v>
      </c>
      <c r="H23" s="30">
        <v>2</v>
      </c>
      <c r="I23" s="31">
        <v>8558441.2399999965</v>
      </c>
      <c r="J23" s="31">
        <v>27719</v>
      </c>
      <c r="K23" s="31">
        <v>27719</v>
      </c>
      <c r="L23" s="31">
        <v>9635675.0800000001</v>
      </c>
      <c r="M23" s="31">
        <v>13590000</v>
      </c>
      <c r="N23" s="32">
        <f>IFERROR(L23/I23,"")</f>
        <v>1.1258679950929948</v>
      </c>
      <c r="O23" s="32">
        <f>IF(D23="a",K23/25000,IF(D23="b",K23/15000,IF(D23="c",K23/5000)))/H23</f>
        <v>0.55437999999999998</v>
      </c>
    </row>
    <row r="24" spans="1:15" x14ac:dyDescent="0.3">
      <c r="A24" s="1" t="s">
        <v>391</v>
      </c>
      <c r="B24" s="26" t="s">
        <v>392</v>
      </c>
      <c r="C24" s="27" t="s">
        <v>27</v>
      </c>
      <c r="D24" s="27" t="s">
        <v>28</v>
      </c>
      <c r="E24" s="28">
        <v>45867</v>
      </c>
      <c r="F24" s="29">
        <v>7</v>
      </c>
      <c r="G24" s="28">
        <v>46402</v>
      </c>
      <c r="H24" s="30">
        <v>2</v>
      </c>
      <c r="I24" s="31">
        <v>10482779.850000003</v>
      </c>
      <c r="J24" s="31">
        <v>41004</v>
      </c>
      <c r="K24" s="31">
        <v>36582</v>
      </c>
      <c r="L24" s="31">
        <v>11784239.620000001</v>
      </c>
      <c r="M24" s="31">
        <v>15000000</v>
      </c>
      <c r="N24" s="32">
        <f>IFERROR(L24/I24,"")</f>
        <v>1.1241521608411911</v>
      </c>
      <c r="O24" s="32">
        <f>IF(D24="a",K24/25000,IF(D24="b",K24/15000,IF(D24="c",K24/5000)))/H24</f>
        <v>0.73163999999999996</v>
      </c>
    </row>
    <row r="25" spans="1:15" x14ac:dyDescent="0.3">
      <c r="A25" s="1" t="s">
        <v>377</v>
      </c>
      <c r="B25" s="26" t="s">
        <v>378</v>
      </c>
      <c r="C25" s="27" t="s">
        <v>27</v>
      </c>
      <c r="D25" s="27" t="s">
        <v>21</v>
      </c>
      <c r="E25" s="28">
        <v>45817</v>
      </c>
      <c r="F25" s="29">
        <v>6</v>
      </c>
      <c r="H25" s="30">
        <v>1</v>
      </c>
      <c r="I25" s="31">
        <v>102297.90000000011</v>
      </c>
      <c r="J25" s="31">
        <v>274</v>
      </c>
      <c r="K25" s="31">
        <v>273</v>
      </c>
      <c r="L25" s="31">
        <v>115596.57</v>
      </c>
      <c r="M25" s="31">
        <v>3000000</v>
      </c>
      <c r="N25" s="32">
        <f>IFERROR(L25/I25,"")</f>
        <v>1.12999944280381</v>
      </c>
      <c r="O25" s="32">
        <f>IF(D25="a",K25/25000,IF(D25="b",K25/15000,IF(D25="c",K25/5000)))/H25</f>
        <v>5.4600000000000003E-2</v>
      </c>
    </row>
    <row r="26" spans="1:15" x14ac:dyDescent="0.3">
      <c r="A26" s="1" t="s">
        <v>50</v>
      </c>
      <c r="B26" s="26" t="s">
        <v>51</v>
      </c>
      <c r="C26" s="27" t="s">
        <v>27</v>
      </c>
      <c r="D26" s="27" t="s">
        <v>21</v>
      </c>
      <c r="E26" s="28">
        <v>45712</v>
      </c>
      <c r="F26" s="29">
        <v>2</v>
      </c>
      <c r="G26" s="28">
        <v>46445</v>
      </c>
      <c r="H26" s="30">
        <v>2</v>
      </c>
      <c r="I26" s="31">
        <v>2376187.9999999991</v>
      </c>
      <c r="J26" s="31">
        <v>7619</v>
      </c>
      <c r="K26" s="31">
        <v>6996</v>
      </c>
      <c r="L26" s="31">
        <v>2783631.76</v>
      </c>
      <c r="M26" s="31">
        <v>4200000</v>
      </c>
      <c r="N26" s="32">
        <f>IFERROR(L26/I26,"")</f>
        <v>1.1714694965213195</v>
      </c>
      <c r="O26" s="32">
        <f>IF(D26="a",K26/25000,IF(D26="b",K26/15000,IF(D26="c",K26/5000)))/H26</f>
        <v>0.6996</v>
      </c>
    </row>
    <row r="27" spans="1:15" x14ac:dyDescent="0.3">
      <c r="B27" s="26" t="s">
        <v>466</v>
      </c>
      <c r="C27" s="27" t="s">
        <v>27</v>
      </c>
      <c r="D27" s="27" t="s">
        <v>35</v>
      </c>
      <c r="E27" s="28">
        <v>46105</v>
      </c>
      <c r="F27" s="29" t="s">
        <v>459</v>
      </c>
      <c r="H27" s="30">
        <v>1</v>
      </c>
      <c r="I27" s="34">
        <v>0</v>
      </c>
      <c r="J27" s="34">
        <v>29</v>
      </c>
      <c r="K27" s="34">
        <v>29</v>
      </c>
      <c r="L27" s="31">
        <v>250000</v>
      </c>
      <c r="M27" s="34">
        <v>7000000</v>
      </c>
      <c r="N27" s="32" t="str">
        <f>IFERROR(L27/I27,"")</f>
        <v/>
      </c>
      <c r="O27" s="32">
        <f>IF(D27="a",K27/25000,IF(D27="b",K27/15000,IF(D27="c",K27/5000)))/H27</f>
        <v>1.9333333333333333E-3</v>
      </c>
    </row>
    <row r="28" spans="1:15" x14ac:dyDescent="0.3">
      <c r="A28" s="1" t="s">
        <v>333</v>
      </c>
      <c r="B28" s="26" t="s">
        <v>334</v>
      </c>
      <c r="C28" s="27" t="s">
        <v>27</v>
      </c>
      <c r="D28" s="27" t="s">
        <v>21</v>
      </c>
      <c r="E28" s="28">
        <v>45797</v>
      </c>
      <c r="F28" s="29">
        <v>5</v>
      </c>
      <c r="H28" s="30">
        <v>1</v>
      </c>
      <c r="I28" s="31">
        <v>9.9999999825755026E-3</v>
      </c>
      <c r="J28" s="31">
        <v>0</v>
      </c>
      <c r="K28" s="31">
        <v>-3</v>
      </c>
      <c r="L28" s="31">
        <v>24192.69</v>
      </c>
      <c r="M28" s="31">
        <v>3000000</v>
      </c>
      <c r="N28" s="32"/>
      <c r="O28" s="32">
        <f>IF(D28="a",K28/25000,IF(D28="b",K28/15000,IF(D28="c",K28/5000)))/H28</f>
        <v>-5.9999999999999995E-4</v>
      </c>
    </row>
    <row r="29" spans="1:15" x14ac:dyDescent="0.3">
      <c r="A29" s="1" t="s">
        <v>93</v>
      </c>
      <c r="B29" s="26" t="s">
        <v>94</v>
      </c>
      <c r="C29" s="27" t="s">
        <v>27</v>
      </c>
      <c r="D29" s="27" t="s">
        <v>21</v>
      </c>
      <c r="E29" s="28">
        <v>45735</v>
      </c>
      <c r="F29" s="29">
        <v>3</v>
      </c>
      <c r="G29" s="28">
        <v>46248</v>
      </c>
      <c r="H29" s="30">
        <v>2</v>
      </c>
      <c r="I29" s="31">
        <v>2964149.8099999954</v>
      </c>
      <c r="J29" s="31">
        <v>8986</v>
      </c>
      <c r="K29" s="31">
        <v>8133</v>
      </c>
      <c r="L29" s="31">
        <v>3359507.6</v>
      </c>
      <c r="M29" s="31">
        <v>6000000</v>
      </c>
      <c r="N29" s="32">
        <f>IFERROR(L29/I29,"")</f>
        <v>1.1333798273846372</v>
      </c>
      <c r="O29" s="32">
        <f>IF(D29="a",K29/25000,IF(D29="b",K29/15000,IF(D29="c",K29/5000)))/H29</f>
        <v>0.81330000000000002</v>
      </c>
    </row>
    <row r="30" spans="1:15" x14ac:dyDescent="0.3">
      <c r="A30" s="1" t="s">
        <v>68</v>
      </c>
      <c r="B30" s="26" t="s">
        <v>69</v>
      </c>
      <c r="C30" s="27" t="s">
        <v>27</v>
      </c>
      <c r="D30" s="27" t="s">
        <v>21</v>
      </c>
      <c r="E30" s="28">
        <v>45728</v>
      </c>
      <c r="F30" s="29">
        <v>3</v>
      </c>
      <c r="H30" s="30">
        <v>1</v>
      </c>
      <c r="I30" s="31">
        <v>2217931.7000000011</v>
      </c>
      <c r="J30" s="31">
        <v>7415</v>
      </c>
      <c r="K30" s="31">
        <v>6862</v>
      </c>
      <c r="L30" s="31">
        <v>2714289.37</v>
      </c>
      <c r="M30" s="31">
        <v>3000000</v>
      </c>
      <c r="N30" s="32">
        <f>IFERROR(L30/I30,"")</f>
        <v>1.2237930365484198</v>
      </c>
      <c r="O30" s="32">
        <f>IF(D30="a",K30/25000,IF(D30="b",K30/15000,IF(D30="c",K30/5000)))/H30</f>
        <v>1.3724000000000001</v>
      </c>
    </row>
    <row r="31" spans="1:15" x14ac:dyDescent="0.3">
      <c r="B31" s="26" t="s">
        <v>465</v>
      </c>
      <c r="C31" s="27" t="s">
        <v>27</v>
      </c>
      <c r="D31" s="27" t="s">
        <v>35</v>
      </c>
      <c r="E31" s="28">
        <v>46092</v>
      </c>
      <c r="F31" s="29" t="s">
        <v>459</v>
      </c>
      <c r="H31" s="30">
        <v>1</v>
      </c>
      <c r="I31" s="34">
        <v>0</v>
      </c>
      <c r="J31" s="34">
        <v>74</v>
      </c>
      <c r="K31" s="34">
        <v>74</v>
      </c>
      <c r="L31" s="31">
        <v>35686.660000000003</v>
      </c>
      <c r="M31" s="34">
        <v>5800000</v>
      </c>
      <c r="N31" s="32" t="str">
        <f>IFERROR(L31/I31,"")</f>
        <v/>
      </c>
      <c r="O31" s="32">
        <f>IF(D31="a",K31/25000,IF(D31="b",K31/15000,IF(D31="c",K31/5000)))/H31</f>
        <v>4.933333333333333E-3</v>
      </c>
    </row>
    <row r="32" spans="1:15" x14ac:dyDescent="0.3">
      <c r="A32" s="1" t="s">
        <v>82</v>
      </c>
      <c r="B32" s="26" t="s">
        <v>83</v>
      </c>
      <c r="C32" s="27" t="s">
        <v>27</v>
      </c>
      <c r="D32" s="27" t="s">
        <v>21</v>
      </c>
      <c r="E32" s="28">
        <v>45726</v>
      </c>
      <c r="F32" s="29">
        <v>3</v>
      </c>
      <c r="G32" s="28">
        <v>46290</v>
      </c>
      <c r="H32" s="30">
        <v>2</v>
      </c>
      <c r="I32" s="31">
        <v>3976375.7799999951</v>
      </c>
      <c r="J32" s="31">
        <v>10653</v>
      </c>
      <c r="K32" s="31">
        <v>9880</v>
      </c>
      <c r="L32" s="31">
        <v>4005162.76</v>
      </c>
      <c r="M32" s="31">
        <v>6000000</v>
      </c>
      <c r="N32" s="32">
        <f>IFERROR(L32/I32,"")</f>
        <v>1.0072395018963738</v>
      </c>
      <c r="O32" s="32">
        <f>IF(D32="a",K32/25000,IF(D32="b",K32/15000,IF(D32="c",K32/5000)))/H32</f>
        <v>0.98799999999999999</v>
      </c>
    </row>
    <row r="33" spans="1:15" x14ac:dyDescent="0.3">
      <c r="B33" s="26" t="s">
        <v>454</v>
      </c>
      <c r="C33" s="27" t="s">
        <v>63</v>
      </c>
      <c r="D33" s="27" t="s">
        <v>21</v>
      </c>
      <c r="E33" s="28">
        <v>46063</v>
      </c>
      <c r="F33" s="29" t="s">
        <v>455</v>
      </c>
      <c r="H33" s="30">
        <v>1</v>
      </c>
      <c r="I33" s="34">
        <v>0</v>
      </c>
      <c r="J33" s="34">
        <v>232</v>
      </c>
      <c r="K33" s="34">
        <v>232</v>
      </c>
      <c r="L33" s="31">
        <v>0</v>
      </c>
      <c r="M33" s="31">
        <v>3000000</v>
      </c>
      <c r="N33" s="32" t="str">
        <f>IFERROR(L33/I33,"")</f>
        <v/>
      </c>
      <c r="O33" s="32">
        <f>IF(D33="a",K33/25000,IF(D33="b",K33/15000,IF(D33="c",K33/5000)))/H33</f>
        <v>4.6399999999999997E-2</v>
      </c>
    </row>
    <row r="34" spans="1:15" x14ac:dyDescent="0.3">
      <c r="A34" s="1" t="s">
        <v>411</v>
      </c>
      <c r="B34" s="26" t="s">
        <v>412</v>
      </c>
      <c r="C34" s="27" t="s">
        <v>56</v>
      </c>
      <c r="D34" s="27" t="s">
        <v>21</v>
      </c>
      <c r="E34" s="28">
        <v>45856</v>
      </c>
      <c r="F34" s="29">
        <v>7</v>
      </c>
      <c r="H34" s="30">
        <v>1</v>
      </c>
      <c r="I34" s="31">
        <v>95052.62000000001</v>
      </c>
      <c r="J34" s="31">
        <v>308</v>
      </c>
      <c r="K34" s="31">
        <v>308</v>
      </c>
      <c r="L34" s="31">
        <v>105191.03</v>
      </c>
      <c r="M34" s="31">
        <v>1850000</v>
      </c>
      <c r="N34" s="32">
        <f>IFERROR(L34/I34,"")</f>
        <v>1.106661026282074</v>
      </c>
      <c r="O34" s="32">
        <f>IF(D34="a",K34/25000,IF(D34="b",K34/15000,IF(D34="c",K34/5000)))/H34</f>
        <v>6.1600000000000002E-2</v>
      </c>
    </row>
    <row r="35" spans="1:15" x14ac:dyDescent="0.3">
      <c r="A35" s="1" t="s">
        <v>267</v>
      </c>
      <c r="B35" s="26" t="s">
        <v>268</v>
      </c>
      <c r="C35" s="27" t="s">
        <v>24</v>
      </c>
      <c r="D35" s="27" t="s">
        <v>21</v>
      </c>
      <c r="E35" s="28">
        <v>45798</v>
      </c>
      <c r="F35" s="29">
        <v>5</v>
      </c>
      <c r="H35" s="30">
        <v>1</v>
      </c>
      <c r="I35" s="31">
        <v>1772767.9999999984</v>
      </c>
      <c r="J35" s="31">
        <v>5756</v>
      </c>
      <c r="K35" s="31">
        <v>5040</v>
      </c>
      <c r="L35" s="31">
        <v>2003226.9999999998</v>
      </c>
      <c r="M35" s="31">
        <v>2003227</v>
      </c>
      <c r="N35" s="32">
        <f>IFERROR(L35/I35,"")</f>
        <v>1.1299995261647331</v>
      </c>
      <c r="O35" s="32">
        <f>IF(D35="a",K35/25000,IF(D35="b",K35/15000,IF(D35="c",K35/5000)))/H35</f>
        <v>1.008</v>
      </c>
    </row>
    <row r="36" spans="1:15" x14ac:dyDescent="0.3">
      <c r="B36" s="26" t="s">
        <v>446</v>
      </c>
      <c r="C36" s="27" t="s">
        <v>24</v>
      </c>
      <c r="D36" s="27" t="s">
        <v>35</v>
      </c>
      <c r="E36" s="28">
        <v>45972</v>
      </c>
      <c r="F36" s="29">
        <v>11</v>
      </c>
      <c r="H36" s="30">
        <v>1</v>
      </c>
      <c r="I36" s="34">
        <v>1143374.3600000001</v>
      </c>
      <c r="J36" s="34">
        <v>5504</v>
      </c>
      <c r="K36" s="34">
        <v>5438</v>
      </c>
      <c r="L36" s="31">
        <v>1442929.31</v>
      </c>
      <c r="M36" s="31">
        <v>6000000</v>
      </c>
      <c r="N36" s="32">
        <f>IFERROR(L36/I36,"")</f>
        <v>1.2619920128347113</v>
      </c>
      <c r="O36" s="32">
        <f>IF(D36="a",K36/25000,IF(D36="b",K36/15000,IF(D36="c",K36/5000)))/H36</f>
        <v>0.36253333333333332</v>
      </c>
    </row>
    <row r="37" spans="1:15" x14ac:dyDescent="0.3">
      <c r="A37" s="1" t="s">
        <v>114</v>
      </c>
      <c r="B37" s="26" t="s">
        <v>115</v>
      </c>
      <c r="C37" s="27" t="s">
        <v>20</v>
      </c>
      <c r="D37" s="27" t="s">
        <v>35</v>
      </c>
      <c r="E37" s="28">
        <v>45722</v>
      </c>
      <c r="F37" s="29">
        <v>3</v>
      </c>
      <c r="H37" s="30">
        <v>1</v>
      </c>
      <c r="I37" s="31">
        <v>3451671.2200000039</v>
      </c>
      <c r="J37" s="31">
        <v>12763</v>
      </c>
      <c r="K37" s="31">
        <v>10586</v>
      </c>
      <c r="L37" s="31">
        <v>4190088.8000000003</v>
      </c>
      <c r="M37" s="31">
        <v>6000000</v>
      </c>
      <c r="N37" s="32">
        <f>IFERROR(L37/I37,"")</f>
        <v>1.2139304507687136</v>
      </c>
      <c r="O37" s="32">
        <f>IF(D37="a",K37/25000,IF(D37="b",K37/15000,IF(D37="c",K37/5000)))/H37</f>
        <v>0.70573333333333332</v>
      </c>
    </row>
    <row r="38" spans="1:15" x14ac:dyDescent="0.3">
      <c r="A38" s="1" t="s">
        <v>112</v>
      </c>
      <c r="B38" s="26" t="s">
        <v>113</v>
      </c>
      <c r="C38" s="27" t="s">
        <v>20</v>
      </c>
      <c r="D38" s="27" t="s">
        <v>35</v>
      </c>
      <c r="E38" s="28">
        <v>45726</v>
      </c>
      <c r="F38" s="29">
        <v>3</v>
      </c>
      <c r="H38" s="30">
        <v>1</v>
      </c>
      <c r="I38" s="31">
        <v>3534757.2400000044</v>
      </c>
      <c r="J38" s="31">
        <v>11127</v>
      </c>
      <c r="K38" s="31">
        <v>10648</v>
      </c>
      <c r="L38" s="31">
        <v>3986998.3000000003</v>
      </c>
      <c r="M38" s="31">
        <v>6100000</v>
      </c>
      <c r="N38" s="32">
        <f>IFERROR(L38/I38,"")</f>
        <v>1.1279411934948029</v>
      </c>
      <c r="O38" s="32">
        <f>IF(D38="a",K38/25000,IF(D38="b",K38/15000,IF(D38="c",K38/5000)))/H38</f>
        <v>0.70986666666666665</v>
      </c>
    </row>
    <row r="39" spans="1:15" x14ac:dyDescent="0.3">
      <c r="A39" s="1" t="s">
        <v>281</v>
      </c>
      <c r="B39" s="26" t="s">
        <v>282</v>
      </c>
      <c r="C39" s="27" t="s">
        <v>20</v>
      </c>
      <c r="D39" s="27" t="s">
        <v>21</v>
      </c>
      <c r="E39" s="28">
        <v>45803</v>
      </c>
      <c r="F39" s="29">
        <v>5</v>
      </c>
      <c r="H39" s="30">
        <v>1</v>
      </c>
      <c r="I39" s="31">
        <v>1329771.0400000005</v>
      </c>
      <c r="J39" s="31">
        <v>4171</v>
      </c>
      <c r="K39" s="31">
        <v>4171</v>
      </c>
      <c r="L39" s="31">
        <v>1485541.2600000002</v>
      </c>
      <c r="M39" s="31">
        <v>3000000</v>
      </c>
      <c r="N39" s="32">
        <f>IFERROR(L39/I39,"")</f>
        <v>1.1171406319692447</v>
      </c>
      <c r="O39" s="32">
        <f>IF(D39="a",K39/25000,IF(D39="b",K39/15000,IF(D39="c",K39/5000)))/H39</f>
        <v>0.83420000000000005</v>
      </c>
    </row>
    <row r="40" spans="1:15" x14ac:dyDescent="0.3">
      <c r="B40" s="26" t="s">
        <v>463</v>
      </c>
      <c r="C40" s="27" t="s">
        <v>20</v>
      </c>
      <c r="D40" s="27" t="s">
        <v>21</v>
      </c>
      <c r="E40" s="28">
        <v>46097</v>
      </c>
      <c r="F40" s="29" t="s">
        <v>459</v>
      </c>
      <c r="H40" s="30">
        <v>1</v>
      </c>
      <c r="I40" s="34">
        <v>0</v>
      </c>
      <c r="J40" s="34">
        <v>123</v>
      </c>
      <c r="K40" s="34">
        <v>123</v>
      </c>
      <c r="L40" s="31">
        <v>0</v>
      </c>
      <c r="M40" s="34">
        <v>3000000</v>
      </c>
      <c r="N40" s="32" t="str">
        <f>IFERROR(L40/I40,"")</f>
        <v/>
      </c>
      <c r="O40" s="32">
        <f>IF(D40="a",K40/25000,IF(D40="b",K40/15000,IF(D40="c",K40/5000)))/H40</f>
        <v>2.46E-2</v>
      </c>
    </row>
    <row r="41" spans="1:15" x14ac:dyDescent="0.3">
      <c r="B41" s="26" t="s">
        <v>443</v>
      </c>
      <c r="C41" s="27" t="s">
        <v>24</v>
      </c>
      <c r="D41" s="27" t="s">
        <v>21</v>
      </c>
      <c r="E41" s="28">
        <v>45943</v>
      </c>
      <c r="F41" s="29">
        <v>10</v>
      </c>
      <c r="H41" s="30">
        <v>1</v>
      </c>
      <c r="I41" s="34">
        <v>470110.69999999995</v>
      </c>
      <c r="J41" s="34">
        <v>1500</v>
      </c>
      <c r="K41" s="34">
        <v>1500</v>
      </c>
      <c r="L41" s="31">
        <v>589243.51</v>
      </c>
      <c r="M41" s="31">
        <v>3000000</v>
      </c>
      <c r="N41" s="32">
        <f>IFERROR(L41/I41,"")</f>
        <v>1.2534143766563919</v>
      </c>
      <c r="O41" s="32">
        <f>IF(D41="a",K41/25000,IF(D41="b",K41/15000,IF(D41="c",K41/5000)))/H41</f>
        <v>0.3</v>
      </c>
    </row>
    <row r="42" spans="1:15" x14ac:dyDescent="0.3">
      <c r="A42" s="1" t="s">
        <v>321</v>
      </c>
      <c r="B42" s="26" t="s">
        <v>322</v>
      </c>
      <c r="C42" s="27" t="s">
        <v>159</v>
      </c>
      <c r="D42" s="27" t="s">
        <v>21</v>
      </c>
      <c r="E42" s="28">
        <v>45792</v>
      </c>
      <c r="F42" s="29">
        <v>5</v>
      </c>
      <c r="H42" s="30">
        <v>1</v>
      </c>
      <c r="I42" s="31">
        <v>388888.88999999978</v>
      </c>
      <c r="J42" s="31">
        <v>955</v>
      </c>
      <c r="K42" s="31">
        <v>955</v>
      </c>
      <c r="L42" s="31">
        <v>318674.30000000005</v>
      </c>
      <c r="M42" s="31">
        <v>2100000</v>
      </c>
      <c r="N42" s="32">
        <f>IFERROR(L42/I42,"")</f>
        <v>0.81944819765872001</v>
      </c>
      <c r="O42" s="32">
        <f>IF(D42="a",K42/25000,IF(D42="b",K42/15000,IF(D42="c",K42/5000)))/H42</f>
        <v>0.191</v>
      </c>
    </row>
    <row r="43" spans="1:15" x14ac:dyDescent="0.3">
      <c r="A43" s="1" t="s">
        <v>211</v>
      </c>
      <c r="B43" s="26" t="s">
        <v>212</v>
      </c>
      <c r="C43" s="27" t="s">
        <v>159</v>
      </c>
      <c r="D43" s="27" t="s">
        <v>35</v>
      </c>
      <c r="E43" s="28">
        <v>45749</v>
      </c>
      <c r="F43" s="29">
        <v>4</v>
      </c>
      <c r="H43" s="30">
        <v>1</v>
      </c>
      <c r="I43" s="31">
        <v>4742843.5300000114</v>
      </c>
      <c r="J43" s="31">
        <v>15513</v>
      </c>
      <c r="K43" s="31">
        <v>13911</v>
      </c>
      <c r="L43" s="31">
        <v>5132625.05</v>
      </c>
      <c r="M43" s="31">
        <v>6500000</v>
      </c>
      <c r="N43" s="32">
        <f>IFERROR(L43/I43,"")</f>
        <v>1.0821830864827175</v>
      </c>
      <c r="O43" s="32">
        <f>IF(D43="a",K43/25000,IF(D43="b",K43/15000,IF(D43="c",K43/5000)))/H43</f>
        <v>0.9274</v>
      </c>
    </row>
    <row r="44" spans="1:15" x14ac:dyDescent="0.3">
      <c r="A44" s="1" t="s">
        <v>313</v>
      </c>
      <c r="B44" s="26" t="s">
        <v>314</v>
      </c>
      <c r="C44" s="27" t="s">
        <v>159</v>
      </c>
      <c r="D44" s="27" t="s">
        <v>21</v>
      </c>
      <c r="E44" s="28">
        <v>45790</v>
      </c>
      <c r="F44" s="29">
        <v>5</v>
      </c>
      <c r="H44" s="30">
        <v>1</v>
      </c>
      <c r="I44" s="31">
        <v>496123.12000000064</v>
      </c>
      <c r="J44" s="31">
        <v>1347</v>
      </c>
      <c r="K44" s="31">
        <v>1347</v>
      </c>
      <c r="L44" s="31">
        <v>560697.75</v>
      </c>
      <c r="M44" s="31">
        <v>3000000</v>
      </c>
      <c r="N44" s="32">
        <f>IFERROR(L44/I44,"")</f>
        <v>1.1301584775972531</v>
      </c>
      <c r="O44" s="32">
        <f>IF(D44="a",K44/25000,IF(D44="b",K44/15000,IF(D44="c",K44/5000)))/H44</f>
        <v>0.26939999999999997</v>
      </c>
    </row>
    <row r="45" spans="1:15" x14ac:dyDescent="0.3">
      <c r="A45" s="1" t="s">
        <v>127</v>
      </c>
      <c r="B45" s="26" t="s">
        <v>128</v>
      </c>
      <c r="C45" s="27" t="s">
        <v>92</v>
      </c>
      <c r="D45" s="27" t="s">
        <v>21</v>
      </c>
      <c r="E45" s="28">
        <v>45733</v>
      </c>
      <c r="F45" s="29">
        <v>3</v>
      </c>
      <c r="H45" s="30">
        <v>1</v>
      </c>
      <c r="I45" s="31">
        <v>1108993.4699999997</v>
      </c>
      <c r="J45" s="31">
        <v>3189</v>
      </c>
      <c r="K45" s="31">
        <v>3189</v>
      </c>
      <c r="L45" s="31">
        <v>1253141.04</v>
      </c>
      <c r="M45" s="31">
        <v>2589700</v>
      </c>
      <c r="N45" s="32">
        <f>IFERROR(L45/I45,"")</f>
        <v>1.1299805399214842</v>
      </c>
      <c r="O45" s="32">
        <f>IF(D45="a",K45/25000,IF(D45="b",K45/15000,IF(D45="c",K45/5000)))/H45</f>
        <v>0.63780000000000003</v>
      </c>
    </row>
    <row r="46" spans="1:15" x14ac:dyDescent="0.3">
      <c r="A46" s="1" t="s">
        <v>303</v>
      </c>
      <c r="B46" s="26" t="s">
        <v>304</v>
      </c>
      <c r="C46" s="27" t="s">
        <v>27</v>
      </c>
      <c r="D46" s="27" t="s">
        <v>21</v>
      </c>
      <c r="E46" s="28">
        <v>45799</v>
      </c>
      <c r="F46" s="29">
        <v>5</v>
      </c>
      <c r="H46" s="30">
        <v>1</v>
      </c>
      <c r="I46" s="31">
        <v>709588.06000000611</v>
      </c>
      <c r="J46" s="31">
        <v>2301</v>
      </c>
      <c r="K46" s="31">
        <v>2002</v>
      </c>
      <c r="L46" s="31">
        <v>801164</v>
      </c>
      <c r="M46" s="31">
        <v>3000000</v>
      </c>
      <c r="N46" s="32">
        <f>IFERROR(L46/I46,"")</f>
        <v>1.1290550745738213</v>
      </c>
      <c r="O46" s="32">
        <f>IF(D46="a",K46/25000,IF(D46="b",K46/15000,IF(D46="c",K46/5000)))/H46</f>
        <v>0.40039999999999998</v>
      </c>
    </row>
    <row r="47" spans="1:15" x14ac:dyDescent="0.3">
      <c r="A47" s="1" t="s">
        <v>243</v>
      </c>
      <c r="B47" s="26" t="s">
        <v>244</v>
      </c>
      <c r="C47" s="27" t="s">
        <v>111</v>
      </c>
      <c r="D47" s="27" t="s">
        <v>21</v>
      </c>
      <c r="E47" s="28">
        <v>45775</v>
      </c>
      <c r="F47" s="29">
        <v>4</v>
      </c>
      <c r="H47" s="30">
        <v>1</v>
      </c>
      <c r="I47" s="31">
        <v>422324.71</v>
      </c>
      <c r="J47" s="31">
        <v>1279</v>
      </c>
      <c r="K47" s="31">
        <v>1279</v>
      </c>
      <c r="L47" s="31">
        <v>477226.69999999995</v>
      </c>
      <c r="M47" s="31">
        <v>1950000</v>
      </c>
      <c r="N47" s="32">
        <f>IFERROR(L47/I47,"")</f>
        <v>1.1299994736277683</v>
      </c>
      <c r="O47" s="32">
        <f>IF(D47="a",K47/25000,IF(D47="b",K47/15000,IF(D47="c",K47/5000)))/H47</f>
        <v>0.25580000000000003</v>
      </c>
    </row>
    <row r="48" spans="1:15" x14ac:dyDescent="0.3">
      <c r="A48" s="1" t="s">
        <v>205</v>
      </c>
      <c r="B48" s="26" t="s">
        <v>206</v>
      </c>
      <c r="C48" s="27" t="s">
        <v>198</v>
      </c>
      <c r="D48" s="27" t="s">
        <v>21</v>
      </c>
      <c r="E48" s="28">
        <v>45771</v>
      </c>
      <c r="F48" s="29">
        <v>4</v>
      </c>
      <c r="H48" s="30">
        <v>1</v>
      </c>
      <c r="I48" s="31">
        <v>1784062.4000000001</v>
      </c>
      <c r="J48" s="31">
        <v>5530</v>
      </c>
      <c r="K48" s="31">
        <v>5040</v>
      </c>
      <c r="L48" s="31">
        <v>2103069.04</v>
      </c>
      <c r="M48" s="31">
        <v>3000000</v>
      </c>
      <c r="N48" s="32">
        <f>IFERROR(L48/I48,"")</f>
        <v>1.1788091268556524</v>
      </c>
      <c r="O48" s="32">
        <f>IF(D48="a",K48/25000,IF(D48="b",K48/15000,IF(D48="c",K48/5000)))/H48</f>
        <v>1.008</v>
      </c>
    </row>
    <row r="49" spans="1:15" x14ac:dyDescent="0.3">
      <c r="A49" s="1" t="s">
        <v>182</v>
      </c>
      <c r="B49" s="26" t="s">
        <v>183</v>
      </c>
      <c r="C49" s="27" t="s">
        <v>24</v>
      </c>
      <c r="D49" s="27" t="s">
        <v>21</v>
      </c>
      <c r="E49" s="28">
        <v>45748</v>
      </c>
      <c r="F49" s="29">
        <v>4</v>
      </c>
      <c r="H49" s="30">
        <v>1</v>
      </c>
      <c r="I49" s="31">
        <v>2472509.1500000074</v>
      </c>
      <c r="J49" s="31">
        <v>7422</v>
      </c>
      <c r="K49" s="31">
        <v>7262</v>
      </c>
      <c r="L49" s="31">
        <v>3000000</v>
      </c>
      <c r="M49" s="31">
        <v>3000000</v>
      </c>
      <c r="N49" s="32">
        <f>IFERROR(L49/I49,"")</f>
        <v>1.2133423247392192</v>
      </c>
      <c r="O49" s="32">
        <f>IF(D49="a",K49/25000,IF(D49="b",K49/15000,IF(D49="c",K49/5000)))/H49</f>
        <v>1.4523999999999999</v>
      </c>
    </row>
    <row r="50" spans="1:15" x14ac:dyDescent="0.3">
      <c r="A50" s="1" t="s">
        <v>176</v>
      </c>
      <c r="B50" s="26" t="s">
        <v>177</v>
      </c>
      <c r="C50" s="27" t="s">
        <v>27</v>
      </c>
      <c r="D50" s="27" t="s">
        <v>21</v>
      </c>
      <c r="E50" s="28">
        <v>45770</v>
      </c>
      <c r="F50" s="29">
        <v>4</v>
      </c>
      <c r="G50" s="28">
        <v>46308</v>
      </c>
      <c r="H50" s="30">
        <v>2</v>
      </c>
      <c r="I50" s="31">
        <v>5108556.0300000068</v>
      </c>
      <c r="J50" s="31">
        <v>17108</v>
      </c>
      <c r="K50" s="31">
        <v>15262</v>
      </c>
      <c r="L50" s="31">
        <v>6000000</v>
      </c>
      <c r="M50" s="31">
        <v>6000000</v>
      </c>
      <c r="N50" s="32">
        <f>IFERROR(L50/I50,"")</f>
        <v>1.1745001845462761</v>
      </c>
      <c r="O50" s="32">
        <f>IF(D50="a",K50/25000,IF(D50="b",K50/15000,IF(D50="c",K50/5000)))/H50</f>
        <v>1.5262</v>
      </c>
    </row>
    <row r="51" spans="1:15" x14ac:dyDescent="0.3">
      <c r="A51" s="1" t="s">
        <v>72</v>
      </c>
      <c r="B51" s="26" t="s">
        <v>73</v>
      </c>
      <c r="C51" s="27" t="s">
        <v>24</v>
      </c>
      <c r="D51" s="27" t="s">
        <v>21</v>
      </c>
      <c r="E51" s="28">
        <v>45747</v>
      </c>
      <c r="F51" s="29">
        <v>3</v>
      </c>
      <c r="H51" s="30">
        <v>1</v>
      </c>
      <c r="I51" s="31">
        <v>1939106.2200000039</v>
      </c>
      <c r="J51" s="31">
        <v>6117</v>
      </c>
      <c r="K51" s="31">
        <v>5398</v>
      </c>
      <c r="L51" s="31">
        <v>2191187.81</v>
      </c>
      <c r="M51" s="31">
        <v>2191187.81</v>
      </c>
      <c r="N51" s="32">
        <f>IFERROR(L51/I51,"")</f>
        <v>1.1299988558646341</v>
      </c>
      <c r="O51" s="32">
        <f>IF(D51="a",K51/25000,IF(D51="b",K51/15000,IF(D51="c",K51/5000)))/H51</f>
        <v>1.0795999999999999</v>
      </c>
    </row>
    <row r="52" spans="1:15" x14ac:dyDescent="0.3">
      <c r="A52" s="1" t="s">
        <v>417</v>
      </c>
      <c r="B52" s="26" t="s">
        <v>418</v>
      </c>
      <c r="C52" s="27" t="s">
        <v>24</v>
      </c>
      <c r="D52" s="27" t="s">
        <v>35</v>
      </c>
      <c r="E52" s="28">
        <v>45882</v>
      </c>
      <c r="F52" s="29">
        <v>8</v>
      </c>
      <c r="H52" s="30">
        <v>1</v>
      </c>
      <c r="I52" s="31">
        <v>6148259.2200000277</v>
      </c>
      <c r="J52" s="31">
        <v>21369</v>
      </c>
      <c r="K52" s="31">
        <v>17183</v>
      </c>
      <c r="L52" s="31">
        <v>6947528.0999999996</v>
      </c>
      <c r="M52" s="31">
        <v>6947528.0999999996</v>
      </c>
      <c r="N52" s="32">
        <f>IFERROR(L52/I52,"")</f>
        <v>1.1299992162659609</v>
      </c>
      <c r="O52" s="32">
        <f>IF(D52="a",K52/25000,IF(D52="b",K52/15000,IF(D52="c",K52/5000)))/H52</f>
        <v>1.1455333333333333</v>
      </c>
    </row>
    <row r="53" spans="1:15" x14ac:dyDescent="0.3">
      <c r="B53" s="26" t="s">
        <v>450</v>
      </c>
      <c r="C53" s="27" t="s">
        <v>24</v>
      </c>
      <c r="D53" s="27" t="s">
        <v>28</v>
      </c>
      <c r="E53" s="28">
        <v>46036</v>
      </c>
      <c r="F53" s="29" t="s">
        <v>451</v>
      </c>
      <c r="H53" s="30">
        <v>1</v>
      </c>
      <c r="I53" s="34">
        <v>1460407.949999999</v>
      </c>
      <c r="J53" s="34">
        <v>13228</v>
      </c>
      <c r="K53" s="34">
        <v>12942</v>
      </c>
      <c r="L53" s="31">
        <v>4147796.0700000003</v>
      </c>
      <c r="M53" s="31">
        <v>9250000</v>
      </c>
      <c r="N53" s="32">
        <f>IFERROR(L53/I53,"")</f>
        <v>2.8401626203144148</v>
      </c>
      <c r="O53" s="32">
        <f>IF(D53="a",K53/25000,IF(D53="b",K53/15000,IF(D53="c",K53/5000)))/H53</f>
        <v>0.51768000000000003</v>
      </c>
    </row>
    <row r="54" spans="1:15" x14ac:dyDescent="0.3">
      <c r="A54" s="1" t="s">
        <v>149</v>
      </c>
      <c r="B54" s="26" t="s">
        <v>150</v>
      </c>
      <c r="C54" s="27" t="s">
        <v>24</v>
      </c>
      <c r="D54" s="27" t="s">
        <v>21</v>
      </c>
      <c r="E54" s="28">
        <v>45720</v>
      </c>
      <c r="F54" s="29">
        <v>3</v>
      </c>
      <c r="H54" s="30">
        <v>1</v>
      </c>
      <c r="I54" s="31">
        <v>843657.90000000037</v>
      </c>
      <c r="J54" s="31">
        <v>2518</v>
      </c>
      <c r="K54" s="31">
        <v>2284</v>
      </c>
      <c r="L54" s="31">
        <v>916967.99</v>
      </c>
      <c r="M54" s="31">
        <v>3000000</v>
      </c>
      <c r="N54" s="32">
        <f>IFERROR(L54/I54,"")</f>
        <v>1.0868955177211042</v>
      </c>
      <c r="O54" s="32">
        <f>IF(D54="a",K54/25000,IF(D54="b",K54/15000,IF(D54="c",K54/5000)))/H54</f>
        <v>0.45679999999999998</v>
      </c>
    </row>
    <row r="55" spans="1:15" x14ac:dyDescent="0.3">
      <c r="A55" s="1" t="s">
        <v>54</v>
      </c>
      <c r="B55" s="26" t="s">
        <v>55</v>
      </c>
      <c r="C55" s="27" t="s">
        <v>56</v>
      </c>
      <c r="D55" s="27" t="s">
        <v>21</v>
      </c>
      <c r="E55" s="28">
        <v>45715</v>
      </c>
      <c r="F55" s="29">
        <v>2</v>
      </c>
      <c r="G55" s="28">
        <v>46312</v>
      </c>
      <c r="H55" s="30">
        <v>2</v>
      </c>
      <c r="I55" s="31">
        <v>2379582.450000002</v>
      </c>
      <c r="J55" s="31">
        <v>6558</v>
      </c>
      <c r="K55" s="31">
        <v>6008</v>
      </c>
      <c r="L55" s="31">
        <v>2688924.1400000006</v>
      </c>
      <c r="M55" s="31">
        <v>3000000</v>
      </c>
      <c r="N55" s="32">
        <f>IFERROR(L55/I55,"")</f>
        <v>1.1299983070559283</v>
      </c>
      <c r="O55" s="32">
        <f>IF(D55="a",K55/25000,IF(D55="b",K55/15000,IF(D55="c",K55/5000)))/H55</f>
        <v>0.6008</v>
      </c>
    </row>
    <row r="56" spans="1:15" x14ac:dyDescent="0.3">
      <c r="A56" s="1" t="s">
        <v>131</v>
      </c>
      <c r="B56" s="26" t="s">
        <v>132</v>
      </c>
      <c r="C56" s="27" t="s">
        <v>31</v>
      </c>
      <c r="D56" s="27" t="s">
        <v>21</v>
      </c>
      <c r="E56" s="28">
        <v>45743</v>
      </c>
      <c r="F56" s="29">
        <v>3</v>
      </c>
      <c r="G56" s="28">
        <v>46472</v>
      </c>
      <c r="H56" s="30">
        <v>2</v>
      </c>
      <c r="I56" s="31">
        <v>1896110.4600000004</v>
      </c>
      <c r="J56" s="31">
        <v>6226</v>
      </c>
      <c r="K56" s="31">
        <v>5828</v>
      </c>
      <c r="L56" s="31">
        <v>2146937.77</v>
      </c>
      <c r="M56" s="31">
        <v>3200000</v>
      </c>
      <c r="N56" s="32">
        <f>IFERROR(L56/I56,"")</f>
        <v>1.1322851781535974</v>
      </c>
      <c r="O56" s="32">
        <f>IF(D56="a",K56/25000,IF(D56="b",K56/15000,IF(D56="c",K56/5000)))/H56</f>
        <v>0.58279999999999998</v>
      </c>
    </row>
    <row r="57" spans="1:15" x14ac:dyDescent="0.3">
      <c r="A57" s="1" t="s">
        <v>29</v>
      </c>
      <c r="B57" s="26" t="s">
        <v>30</v>
      </c>
      <c r="C57" s="27" t="s">
        <v>31</v>
      </c>
      <c r="D57" s="27" t="s">
        <v>21</v>
      </c>
      <c r="E57" s="28">
        <v>45706</v>
      </c>
      <c r="F57" s="29">
        <v>2</v>
      </c>
      <c r="H57" s="30">
        <v>1</v>
      </c>
      <c r="I57" s="31">
        <v>2334294.9599999986</v>
      </c>
      <c r="J57" s="31">
        <v>6872</v>
      </c>
      <c r="K57" s="31">
        <v>6202</v>
      </c>
      <c r="L57" s="31">
        <v>2606136.1</v>
      </c>
      <c r="M57" s="31">
        <v>3000000</v>
      </c>
      <c r="N57" s="32">
        <f>IFERROR(L57/I57,"")</f>
        <v>1.1164553514693798</v>
      </c>
      <c r="O57" s="32">
        <f>IF(D57="a",K57/25000,IF(D57="b",K57/15000,IF(D57="c",K57/5000)))/H57</f>
        <v>1.2403999999999999</v>
      </c>
    </row>
    <row r="58" spans="1:15" x14ac:dyDescent="0.3">
      <c r="B58" s="26" t="s">
        <v>457</v>
      </c>
      <c r="C58" s="27" t="s">
        <v>31</v>
      </c>
      <c r="D58" s="27" t="s">
        <v>28</v>
      </c>
      <c r="E58" s="28">
        <v>46078</v>
      </c>
      <c r="F58" s="29" t="s">
        <v>455</v>
      </c>
      <c r="H58" s="30">
        <v>1</v>
      </c>
      <c r="I58" s="34">
        <v>0</v>
      </c>
      <c r="J58" s="34">
        <v>502</v>
      </c>
      <c r="K58" s="34">
        <v>502</v>
      </c>
      <c r="L58" s="31">
        <v>0</v>
      </c>
      <c r="M58" s="31">
        <v>9250000</v>
      </c>
      <c r="N58" s="32" t="str">
        <f>IFERROR(L58/I58,"")</f>
        <v/>
      </c>
      <c r="O58" s="32">
        <f>IF(D58="a",K58/25000,IF(D58="b",K58/15000,IF(D58="c",K58/5000)))/H58</f>
        <v>2.0080000000000001E-2</v>
      </c>
    </row>
    <row r="59" spans="1:15" x14ac:dyDescent="0.3">
      <c r="A59" s="1" t="s">
        <v>103</v>
      </c>
      <c r="B59" s="26" t="s">
        <v>104</v>
      </c>
      <c r="C59" s="27" t="s">
        <v>24</v>
      </c>
      <c r="D59" s="27" t="s">
        <v>28</v>
      </c>
      <c r="E59" s="28">
        <v>45720</v>
      </c>
      <c r="F59" s="29">
        <v>3</v>
      </c>
      <c r="G59" s="28">
        <v>46332</v>
      </c>
      <c r="H59" s="30">
        <v>2</v>
      </c>
      <c r="I59" s="31">
        <v>11510881.820000039</v>
      </c>
      <c r="J59" s="31">
        <v>44376</v>
      </c>
      <c r="K59" s="31">
        <v>37237</v>
      </c>
      <c r="L59" s="31">
        <v>13563380.49</v>
      </c>
      <c r="M59" s="31">
        <v>18250000</v>
      </c>
      <c r="N59" s="32">
        <f>IFERROR(L59/I59,"")</f>
        <v>1.1783094207807576</v>
      </c>
      <c r="O59" s="32">
        <f>IF(D59="a",K59/25000,IF(D59="b",K59/15000,IF(D59="c",K59/5000)))/H59</f>
        <v>0.74473999999999996</v>
      </c>
    </row>
    <row r="60" spans="1:15" x14ac:dyDescent="0.3">
      <c r="A60" s="1" t="s">
        <v>301</v>
      </c>
      <c r="B60" s="26" t="s">
        <v>302</v>
      </c>
      <c r="C60" s="27" t="s">
        <v>159</v>
      </c>
      <c r="D60" s="27" t="s">
        <v>21</v>
      </c>
      <c r="E60" s="28">
        <v>45804</v>
      </c>
      <c r="F60" s="29">
        <v>5</v>
      </c>
      <c r="H60" s="30">
        <v>1</v>
      </c>
      <c r="I60" s="31">
        <v>690939.76999999792</v>
      </c>
      <c r="J60" s="31">
        <v>2065</v>
      </c>
      <c r="K60" s="31">
        <v>2065</v>
      </c>
      <c r="L60" s="31">
        <v>744601.93000000017</v>
      </c>
      <c r="M60" s="31">
        <v>3000000</v>
      </c>
      <c r="N60" s="32">
        <f>IFERROR(L60/I60,"")</f>
        <v>1.0776654671361621</v>
      </c>
      <c r="O60" s="32">
        <f>IF(D60="a",K60/25000,IF(D60="b",K60/15000,IF(D60="c",K60/5000)))/H60</f>
        <v>0.41299999999999998</v>
      </c>
    </row>
    <row r="61" spans="1:15" x14ac:dyDescent="0.3">
      <c r="A61" s="1" t="s">
        <v>99</v>
      </c>
      <c r="B61" s="26" t="s">
        <v>100</v>
      </c>
      <c r="C61" s="27" t="s">
        <v>24</v>
      </c>
      <c r="D61" s="27" t="s">
        <v>28</v>
      </c>
      <c r="E61" s="28">
        <v>45720</v>
      </c>
      <c r="F61" s="29">
        <v>3</v>
      </c>
      <c r="G61" s="28">
        <v>46305</v>
      </c>
      <c r="H61" s="30">
        <v>2</v>
      </c>
      <c r="I61" s="31">
        <v>12421327.389999937</v>
      </c>
      <c r="J61" s="31">
        <v>45459</v>
      </c>
      <c r="K61" s="31">
        <v>37427</v>
      </c>
      <c r="L61" s="31">
        <v>14185325.620000003</v>
      </c>
      <c r="M61" s="31">
        <v>24411123.819999997</v>
      </c>
      <c r="N61" s="32">
        <f>IFERROR(L61/I61,"")</f>
        <v>1.1420136652561153</v>
      </c>
      <c r="O61" s="32">
        <f>IF(D61="a",K61/25000,IF(D61="b",K61/15000,IF(D61="c",K61/5000)))/H61</f>
        <v>0.74853999999999998</v>
      </c>
    </row>
    <row r="62" spans="1:15" x14ac:dyDescent="0.3">
      <c r="A62" s="1" t="s">
        <v>381</v>
      </c>
      <c r="B62" s="26" t="s">
        <v>382</v>
      </c>
      <c r="C62" s="27" t="s">
        <v>159</v>
      </c>
      <c r="D62" s="27" t="s">
        <v>21</v>
      </c>
      <c r="E62" s="28">
        <v>45828</v>
      </c>
      <c r="F62" s="29">
        <v>6</v>
      </c>
      <c r="H62" s="30">
        <v>1</v>
      </c>
      <c r="I62" s="31">
        <v>34326.54</v>
      </c>
      <c r="J62" s="31">
        <v>88</v>
      </c>
      <c r="K62" s="31">
        <v>88</v>
      </c>
      <c r="L62" s="31">
        <v>38373.729999999996</v>
      </c>
      <c r="M62" s="31">
        <v>3000000</v>
      </c>
      <c r="N62" s="32">
        <f>IFERROR(L62/I62,"")</f>
        <v>1.1179026490872659</v>
      </c>
      <c r="O62" s="32">
        <f>IF(D62="a",K62/25000,IF(D62="b",K62/15000,IF(D62="c",K62/5000)))/H62</f>
        <v>1.7600000000000001E-2</v>
      </c>
    </row>
    <row r="63" spans="1:15" x14ac:dyDescent="0.3">
      <c r="A63" s="1" t="s">
        <v>265</v>
      </c>
      <c r="B63" s="26" t="s">
        <v>266</v>
      </c>
      <c r="C63" s="27" t="s">
        <v>159</v>
      </c>
      <c r="D63" s="27" t="s">
        <v>28</v>
      </c>
      <c r="E63" s="28">
        <v>45807</v>
      </c>
      <c r="F63" s="29">
        <v>5</v>
      </c>
      <c r="G63" s="28">
        <v>46399</v>
      </c>
      <c r="H63" s="30">
        <v>3</v>
      </c>
      <c r="I63" s="31">
        <v>25599862.459999692</v>
      </c>
      <c r="J63" s="31">
        <v>94181</v>
      </c>
      <c r="K63" s="31">
        <v>75756</v>
      </c>
      <c r="L63" s="31">
        <v>28941108.420000002</v>
      </c>
      <c r="M63" s="31">
        <v>30000000</v>
      </c>
      <c r="N63" s="32">
        <f>IFERROR(L63/I63,"")</f>
        <v>1.1305181215415152</v>
      </c>
      <c r="O63" s="32">
        <f>IF(D63="a",K63/25000,IF(D63="b",K63/15000,IF(D63="c",K63/5000)))/H63</f>
        <v>1.0100800000000001</v>
      </c>
    </row>
    <row r="64" spans="1:15" x14ac:dyDescent="0.3">
      <c r="A64" s="1" t="s">
        <v>164</v>
      </c>
      <c r="B64" s="26" t="s">
        <v>165</v>
      </c>
      <c r="C64" s="27" t="s">
        <v>159</v>
      </c>
      <c r="D64" s="27" t="s">
        <v>21</v>
      </c>
      <c r="E64" s="28">
        <v>45733</v>
      </c>
      <c r="F64" s="29">
        <v>3</v>
      </c>
      <c r="H64" s="30">
        <v>1</v>
      </c>
      <c r="I64" s="31">
        <v>224575.80000000028</v>
      </c>
      <c r="J64" s="31">
        <v>659</v>
      </c>
      <c r="K64" s="31">
        <v>658</v>
      </c>
      <c r="L64" s="31">
        <v>254879.73999999996</v>
      </c>
      <c r="M64" s="31">
        <v>3000000</v>
      </c>
      <c r="N64" s="32">
        <f>IFERROR(L64/I64,"")</f>
        <v>1.1349385819843441</v>
      </c>
      <c r="O64" s="32">
        <f>IF(D64="a",K64/25000,IF(D64="b",K64/15000,IF(D64="c",K64/5000)))/H64</f>
        <v>0.13159999999999999</v>
      </c>
    </row>
    <row r="65" spans="1:15" x14ac:dyDescent="0.3">
      <c r="A65" s="1" t="s">
        <v>36</v>
      </c>
      <c r="B65" s="26" t="s">
        <v>37</v>
      </c>
      <c r="C65" s="27" t="s">
        <v>31</v>
      </c>
      <c r="D65" s="27" t="s">
        <v>28</v>
      </c>
      <c r="E65" s="28">
        <v>45712</v>
      </c>
      <c r="F65" s="29">
        <v>2</v>
      </c>
      <c r="H65" s="30">
        <v>1</v>
      </c>
      <c r="I65" s="31">
        <v>9298713.3500000238</v>
      </c>
      <c r="J65" s="31">
        <v>32824</v>
      </c>
      <c r="K65" s="31">
        <v>26923</v>
      </c>
      <c r="L65" s="31">
        <v>10506743.32</v>
      </c>
      <c r="M65" s="31">
        <v>10506743.32</v>
      </c>
      <c r="N65" s="32">
        <f>IFERROR(L65/I65,"")</f>
        <v>1.1299136691852076</v>
      </c>
      <c r="O65" s="32">
        <f>IF(D65="a",K65/25000,IF(D65="b",K65/15000,IF(D65="c",K65/5000)))/H65</f>
        <v>1.0769200000000001</v>
      </c>
    </row>
    <row r="66" spans="1:15" x14ac:dyDescent="0.3">
      <c r="A66" s="1" t="s">
        <v>57</v>
      </c>
      <c r="B66" s="26" t="s">
        <v>58</v>
      </c>
      <c r="C66" s="27" t="s">
        <v>31</v>
      </c>
      <c r="D66" s="27" t="s">
        <v>28</v>
      </c>
      <c r="E66" s="28">
        <v>45741</v>
      </c>
      <c r="F66" s="29">
        <v>3</v>
      </c>
      <c r="G66" s="28">
        <v>46266</v>
      </c>
      <c r="H66" s="30">
        <v>2</v>
      </c>
      <c r="I66" s="31">
        <v>29755520.199999988</v>
      </c>
      <c r="J66" s="31">
        <v>116883</v>
      </c>
      <c r="K66" s="31">
        <v>106675</v>
      </c>
      <c r="L66" s="31">
        <v>32944127.420000006</v>
      </c>
      <c r="M66" s="31">
        <v>44650000</v>
      </c>
      <c r="N66" s="32">
        <f>IFERROR(L66/I66,"")</f>
        <v>1.1071601907332818</v>
      </c>
      <c r="O66" s="32">
        <f>IF(D66="a",K66/25000,IF(D66="b",K66/15000,IF(D66="c",K66/5000)))/H66</f>
        <v>2.1335000000000002</v>
      </c>
    </row>
    <row r="67" spans="1:15" x14ac:dyDescent="0.3">
      <c r="A67" s="1" t="s">
        <v>339</v>
      </c>
      <c r="B67" s="26" t="s">
        <v>340</v>
      </c>
      <c r="C67" s="27" t="s">
        <v>31</v>
      </c>
      <c r="D67" s="27" t="s">
        <v>21</v>
      </c>
      <c r="E67" s="28">
        <v>45813</v>
      </c>
      <c r="F67" s="29">
        <v>6</v>
      </c>
      <c r="H67" s="30">
        <v>1</v>
      </c>
      <c r="I67" s="31">
        <v>1449066.9000000001</v>
      </c>
      <c r="J67" s="31">
        <v>5723</v>
      </c>
      <c r="K67" s="31">
        <v>5723</v>
      </c>
      <c r="L67" s="31">
        <v>1619005.61</v>
      </c>
      <c r="M67" s="31">
        <v>3500000</v>
      </c>
      <c r="N67" s="32">
        <f>IFERROR(L67/I67,"")</f>
        <v>1.1172745785581051</v>
      </c>
      <c r="O67" s="32">
        <f>IF(D67="a",K67/25000,IF(D67="b",K67/15000,IF(D67="c",K67/5000)))/H67</f>
        <v>1.1446000000000001</v>
      </c>
    </row>
    <row r="68" spans="1:15" x14ac:dyDescent="0.3">
      <c r="A68" s="1" t="s">
        <v>203</v>
      </c>
      <c r="B68" s="26" t="s">
        <v>204</v>
      </c>
      <c r="C68" s="27" t="s">
        <v>31</v>
      </c>
      <c r="D68" s="27" t="s">
        <v>21</v>
      </c>
      <c r="E68" s="28">
        <v>45756</v>
      </c>
      <c r="F68" s="29">
        <v>4</v>
      </c>
      <c r="H68" s="30">
        <v>1</v>
      </c>
      <c r="I68" s="31">
        <v>1631805.7299999997</v>
      </c>
      <c r="J68" s="31">
        <v>5517</v>
      </c>
      <c r="K68" s="31">
        <v>5047</v>
      </c>
      <c r="L68" s="31">
        <v>1867200.5500000005</v>
      </c>
      <c r="M68" s="31">
        <v>3510000</v>
      </c>
      <c r="N68" s="32">
        <f>IFERROR(L68/I68,"")</f>
        <v>1.1442541937881299</v>
      </c>
      <c r="O68" s="32">
        <f>IF(D68="a",K68/25000,IF(D68="b",K68/15000,IF(D68="c",K68/5000)))/H68</f>
        <v>1.0094000000000001</v>
      </c>
    </row>
    <row r="69" spans="1:15" x14ac:dyDescent="0.3">
      <c r="A69" s="1" t="s">
        <v>403</v>
      </c>
      <c r="B69" s="26" t="s">
        <v>404</v>
      </c>
      <c r="C69" s="27" t="s">
        <v>31</v>
      </c>
      <c r="D69" s="27" t="s">
        <v>21</v>
      </c>
      <c r="E69" s="28">
        <v>45845</v>
      </c>
      <c r="F69" s="29">
        <v>7</v>
      </c>
      <c r="H69" s="30">
        <v>1</v>
      </c>
      <c r="I69" s="31">
        <v>591610.9800000001</v>
      </c>
      <c r="J69" s="31">
        <v>1854</v>
      </c>
      <c r="K69" s="31">
        <v>1854</v>
      </c>
      <c r="L69" s="31">
        <v>663875.88000000012</v>
      </c>
      <c r="M69" s="31">
        <v>3172000</v>
      </c>
      <c r="N69" s="32">
        <f>IFERROR(L69/I69,"")</f>
        <v>1.1221493556458333</v>
      </c>
      <c r="O69" s="32">
        <f>IF(D69="a",K69/25000,IF(D69="b",K69/15000,IF(D69="c",K69/5000)))/H69</f>
        <v>0.37080000000000002</v>
      </c>
    </row>
    <row r="70" spans="1:15" x14ac:dyDescent="0.3">
      <c r="B70" s="26" t="s">
        <v>452</v>
      </c>
      <c r="C70" s="27" t="s">
        <v>31</v>
      </c>
      <c r="D70" s="27" t="s">
        <v>28</v>
      </c>
      <c r="E70" s="28">
        <v>46036</v>
      </c>
      <c r="F70" s="29" t="s">
        <v>451</v>
      </c>
      <c r="H70" s="30">
        <v>1</v>
      </c>
      <c r="I70" s="34">
        <v>1468199.1999999997</v>
      </c>
      <c r="J70" s="34">
        <v>4798</v>
      </c>
      <c r="K70" s="34">
        <v>4798</v>
      </c>
      <c r="L70" s="31">
        <v>1656819.9900000002</v>
      </c>
      <c r="M70" s="31">
        <v>9000000</v>
      </c>
      <c r="N70" s="32">
        <f>IFERROR(L70/I70,"")</f>
        <v>1.1284708437383704</v>
      </c>
      <c r="O70" s="32">
        <f>IF(D70="a",K70/25000,IF(D70="b",K70/15000,IF(D70="c",K70/5000)))/H70</f>
        <v>0.19192000000000001</v>
      </c>
    </row>
    <row r="71" spans="1:15" x14ac:dyDescent="0.3">
      <c r="A71" s="1" t="s">
        <v>147</v>
      </c>
      <c r="B71" s="26" t="s">
        <v>148</v>
      </c>
      <c r="C71" s="27" t="s">
        <v>31</v>
      </c>
      <c r="D71" s="27" t="s">
        <v>21</v>
      </c>
      <c r="E71" s="28">
        <v>45743</v>
      </c>
      <c r="F71" s="29">
        <v>3</v>
      </c>
      <c r="H71" s="30">
        <v>1</v>
      </c>
      <c r="I71" s="31">
        <v>1044032.6900000002</v>
      </c>
      <c r="J71" s="31">
        <v>2326</v>
      </c>
      <c r="K71" s="31">
        <v>2324</v>
      </c>
      <c r="L71" s="31">
        <v>1179756.44</v>
      </c>
      <c r="M71" s="31">
        <v>3000000</v>
      </c>
      <c r="N71" s="32">
        <f>IFERROR(L71/I71,"")</f>
        <v>1.1299995213751399</v>
      </c>
      <c r="O71" s="32">
        <f>IF(D71="a",K71/25000,IF(D71="b",K71/15000,IF(D71="c",K71/5000)))/H71</f>
        <v>0.46479999999999999</v>
      </c>
    </row>
    <row r="72" spans="1:15" x14ac:dyDescent="0.3">
      <c r="B72" s="26" t="s">
        <v>437</v>
      </c>
      <c r="C72" s="27" t="s">
        <v>31</v>
      </c>
      <c r="D72" s="27" t="s">
        <v>21</v>
      </c>
      <c r="E72" s="28">
        <v>45908</v>
      </c>
      <c r="F72" s="29">
        <v>9</v>
      </c>
      <c r="H72" s="30">
        <v>1</v>
      </c>
      <c r="I72" s="34">
        <v>246273.62000000011</v>
      </c>
      <c r="J72" s="34">
        <v>927</v>
      </c>
      <c r="K72" s="34">
        <v>926</v>
      </c>
      <c r="L72" s="31">
        <v>310568.64</v>
      </c>
      <c r="M72" s="31">
        <v>3000000</v>
      </c>
      <c r="N72" s="32">
        <f>IFERROR(L72/I72,"")</f>
        <v>1.2610714862598758</v>
      </c>
      <c r="O72" s="32">
        <f>IF(D72="a",K72/25000,IF(D72="b",K72/15000,IF(D72="c",K72/5000)))/H72</f>
        <v>0.1852</v>
      </c>
    </row>
    <row r="73" spans="1:15" x14ac:dyDescent="0.3">
      <c r="A73" s="1" t="s">
        <v>172</v>
      </c>
      <c r="B73" s="26" t="s">
        <v>173</v>
      </c>
      <c r="C73" s="27" t="s">
        <v>31</v>
      </c>
      <c r="D73" s="27" t="s">
        <v>21</v>
      </c>
      <c r="E73" s="28">
        <v>45768</v>
      </c>
      <c r="F73" s="29">
        <v>4</v>
      </c>
      <c r="H73" s="30">
        <v>1</v>
      </c>
      <c r="I73" s="31">
        <v>2829107.2799999951</v>
      </c>
      <c r="J73" s="31">
        <v>8529</v>
      </c>
      <c r="K73" s="31">
        <v>8529</v>
      </c>
      <c r="L73" s="31">
        <v>3199089.99</v>
      </c>
      <c r="M73" s="31">
        <v>5570000</v>
      </c>
      <c r="N73" s="32">
        <f>IFERROR(L73/I73,"")</f>
        <v>1.1307771934332607</v>
      </c>
      <c r="O73" s="32">
        <f>IF(D73="a",K73/25000,IF(D73="b",K73/15000,IF(D73="c",K73/5000)))/H73</f>
        <v>1.7058</v>
      </c>
    </row>
    <row r="74" spans="1:15" x14ac:dyDescent="0.3">
      <c r="B74" s="26" t="s">
        <v>464</v>
      </c>
      <c r="C74" s="27" t="s">
        <v>63</v>
      </c>
      <c r="D74" s="27" t="s">
        <v>21</v>
      </c>
      <c r="E74" s="28">
        <v>46092</v>
      </c>
      <c r="F74" s="29" t="s">
        <v>459</v>
      </c>
      <c r="H74" s="30">
        <v>1</v>
      </c>
      <c r="I74" s="34">
        <v>0</v>
      </c>
      <c r="J74" s="34">
        <v>98</v>
      </c>
      <c r="K74" s="34">
        <v>98</v>
      </c>
      <c r="L74" s="31">
        <v>0</v>
      </c>
      <c r="M74" s="34">
        <v>3000000</v>
      </c>
      <c r="N74" s="32" t="str">
        <f>IFERROR(L74/I74,"")</f>
        <v/>
      </c>
      <c r="O74" s="32">
        <f>IF(D74="a",K74/25000,IF(D74="b",K74/15000,IF(D74="c",K74/5000)))/H74</f>
        <v>1.9599999999999999E-2</v>
      </c>
    </row>
    <row r="75" spans="1:15" x14ac:dyDescent="0.3">
      <c r="A75" s="1" t="s">
        <v>305</v>
      </c>
      <c r="B75" s="26" t="s">
        <v>306</v>
      </c>
      <c r="C75" s="27" t="s">
        <v>63</v>
      </c>
      <c r="D75" s="27" t="s">
        <v>21</v>
      </c>
      <c r="E75" s="28">
        <v>45796</v>
      </c>
      <c r="F75" s="29">
        <v>5</v>
      </c>
      <c r="H75" s="30">
        <v>1</v>
      </c>
      <c r="I75" s="31">
        <v>559415.22</v>
      </c>
      <c r="J75" s="31">
        <v>1692</v>
      </c>
      <c r="K75" s="31">
        <v>1690</v>
      </c>
      <c r="L75" s="31">
        <v>645000</v>
      </c>
      <c r="M75" s="31">
        <v>3000000</v>
      </c>
      <c r="N75" s="32">
        <f>IFERROR(L75/I75,"")</f>
        <v>1.1529897238047975</v>
      </c>
      <c r="O75" s="32">
        <f>IF(D75="a",K75/25000,IF(D75="b",K75/15000,IF(D75="c",K75/5000)))/H75</f>
        <v>0.33800000000000002</v>
      </c>
    </row>
    <row r="76" spans="1:15" x14ac:dyDescent="0.3">
      <c r="B76" s="26" t="s">
        <v>442</v>
      </c>
      <c r="C76" s="27" t="s">
        <v>63</v>
      </c>
      <c r="D76" s="27" t="s">
        <v>21</v>
      </c>
      <c r="E76" s="28">
        <v>45959</v>
      </c>
      <c r="F76" s="29">
        <v>10</v>
      </c>
      <c r="H76" s="30">
        <v>1</v>
      </c>
      <c r="I76" s="34">
        <v>327384.22000000026</v>
      </c>
      <c r="J76" s="34">
        <v>1525</v>
      </c>
      <c r="K76" s="34">
        <v>1525</v>
      </c>
      <c r="L76" s="31">
        <v>369944.26999999996</v>
      </c>
      <c r="M76" s="31">
        <v>3000000</v>
      </c>
      <c r="N76" s="32">
        <f>IFERROR(L76/I76,"")</f>
        <v>1.1300003097278166</v>
      </c>
      <c r="O76" s="32">
        <f>IF(D76="a",K76/25000,IF(D76="b",K76/15000,IF(D76="c",K76/5000)))/H76</f>
        <v>0.30499999999999999</v>
      </c>
    </row>
    <row r="77" spans="1:15" x14ac:dyDescent="0.3">
      <c r="A77" s="1" t="s">
        <v>419</v>
      </c>
      <c r="B77" s="26" t="s">
        <v>420</v>
      </c>
      <c r="C77" s="27" t="s">
        <v>27</v>
      </c>
      <c r="D77" s="27" t="s">
        <v>21</v>
      </c>
      <c r="E77" s="28">
        <v>45877</v>
      </c>
      <c r="F77" s="29">
        <v>8</v>
      </c>
      <c r="H77" s="30">
        <v>1</v>
      </c>
      <c r="I77" s="31">
        <v>1676076.7200000011</v>
      </c>
      <c r="J77" s="31">
        <v>5915</v>
      </c>
      <c r="K77" s="31">
        <v>5394</v>
      </c>
      <c r="L77" s="31">
        <v>2003029</v>
      </c>
      <c r="M77" s="31">
        <v>3000000</v>
      </c>
      <c r="N77" s="32">
        <f>IFERROR(L77/I77,"")</f>
        <v>1.1950699965571974</v>
      </c>
      <c r="O77" s="32">
        <f>IF(D77="a",K77/25000,IF(D77="b",K77/15000,IF(D77="c",K77/5000)))/H77</f>
        <v>1.0788</v>
      </c>
    </row>
    <row r="78" spans="1:15" x14ac:dyDescent="0.3">
      <c r="A78" s="1" t="s">
        <v>129</v>
      </c>
      <c r="B78" s="26" t="s">
        <v>130</v>
      </c>
      <c r="C78" s="27" t="s">
        <v>56</v>
      </c>
      <c r="D78" s="27" t="s">
        <v>21</v>
      </c>
      <c r="E78" s="28">
        <v>45742</v>
      </c>
      <c r="F78" s="29">
        <v>3</v>
      </c>
      <c r="G78" s="28">
        <v>46472</v>
      </c>
      <c r="H78" s="30">
        <v>2</v>
      </c>
      <c r="I78" s="31">
        <v>1942657.1299999983</v>
      </c>
      <c r="J78" s="31">
        <v>5998</v>
      </c>
      <c r="K78" s="31">
        <v>5970</v>
      </c>
      <c r="L78" s="31">
        <v>2336310.4499999997</v>
      </c>
      <c r="M78" s="31">
        <v>4500000</v>
      </c>
      <c r="N78" s="32">
        <f>IFERROR(L78/I78,"")</f>
        <v>1.2026365403966071</v>
      </c>
      <c r="O78" s="32">
        <f>IF(D78="a",K78/25000,IF(D78="b",K78/15000,IF(D78="c",K78/5000)))/H78</f>
        <v>0.59699999999999998</v>
      </c>
    </row>
    <row r="79" spans="1:15" x14ac:dyDescent="0.3">
      <c r="A79" s="1" t="s">
        <v>407</v>
      </c>
      <c r="B79" s="26" t="s">
        <v>408</v>
      </c>
      <c r="C79" s="27" t="s">
        <v>56</v>
      </c>
      <c r="D79" s="27" t="s">
        <v>21</v>
      </c>
      <c r="E79" s="28">
        <v>45839</v>
      </c>
      <c r="F79" s="29">
        <v>7</v>
      </c>
      <c r="H79" s="30">
        <v>1</v>
      </c>
      <c r="I79" s="31">
        <v>332723.11</v>
      </c>
      <c r="J79" s="31">
        <v>959</v>
      </c>
      <c r="K79" s="31">
        <v>926</v>
      </c>
      <c r="L79" s="31">
        <v>415359.57000000007</v>
      </c>
      <c r="M79" s="31">
        <v>3000000</v>
      </c>
      <c r="N79" s="32">
        <f>IFERROR(L79/I79,"")</f>
        <v>1.2483640526202104</v>
      </c>
      <c r="O79" s="32">
        <f>IF(D79="a",K79/25000,IF(D79="b",K79/15000,IF(D79="c",K79/5000)))/H79</f>
        <v>0.1852</v>
      </c>
    </row>
    <row r="80" spans="1:15" x14ac:dyDescent="0.3">
      <c r="B80" s="26" t="s">
        <v>440</v>
      </c>
      <c r="C80" s="27" t="s">
        <v>31</v>
      </c>
      <c r="D80" s="27" t="s">
        <v>21</v>
      </c>
      <c r="E80" s="28">
        <v>45958</v>
      </c>
      <c r="F80" s="29">
        <v>10</v>
      </c>
      <c r="H80" s="30">
        <v>1</v>
      </c>
      <c r="I80" s="34">
        <v>1042670.6300000001</v>
      </c>
      <c r="J80" s="34">
        <v>4818</v>
      </c>
      <c r="K80" s="34">
        <v>4517</v>
      </c>
      <c r="L80" s="31">
        <v>1178217.48</v>
      </c>
      <c r="M80" s="31">
        <v>3000000</v>
      </c>
      <c r="N80" s="32">
        <f>IFERROR(L80/I80,"")</f>
        <v>1.1299996816827955</v>
      </c>
      <c r="O80" s="32">
        <f>IF(D80="a",K80/25000,IF(D80="b",K80/15000,IF(D80="c",K80/5000)))/H80</f>
        <v>0.90339999999999998</v>
      </c>
    </row>
    <row r="81" spans="1:15" x14ac:dyDescent="0.3">
      <c r="A81" s="1" t="s">
        <v>365</v>
      </c>
      <c r="B81" s="26" t="s">
        <v>366</v>
      </c>
      <c r="C81" s="27" t="s">
        <v>24</v>
      </c>
      <c r="D81" s="27" t="s">
        <v>21</v>
      </c>
      <c r="E81" s="28">
        <v>45826</v>
      </c>
      <c r="F81" s="29">
        <v>6</v>
      </c>
      <c r="H81" s="30">
        <v>1</v>
      </c>
      <c r="I81" s="31">
        <v>476633.21999999922</v>
      </c>
      <c r="J81" s="31">
        <v>1211</v>
      </c>
      <c r="K81" s="31">
        <v>1211</v>
      </c>
      <c r="L81" s="31">
        <v>538592.44999999995</v>
      </c>
      <c r="M81" s="31">
        <v>3000000</v>
      </c>
      <c r="N81" s="32">
        <f>IFERROR(L81/I81,"")</f>
        <v>1.1299935199648921</v>
      </c>
      <c r="O81" s="32">
        <f>IF(D81="a",K81/25000,IF(D81="b",K81/15000,IF(D81="c",K81/5000)))/H81</f>
        <v>0.2422</v>
      </c>
    </row>
    <row r="82" spans="1:15" x14ac:dyDescent="0.3">
      <c r="A82" s="38"/>
      <c r="B82" s="33" t="s">
        <v>426</v>
      </c>
      <c r="C82" s="27" t="s">
        <v>24</v>
      </c>
      <c r="D82" s="27" t="s">
        <v>21</v>
      </c>
      <c r="E82" s="28">
        <v>45894</v>
      </c>
      <c r="F82" s="29">
        <v>8</v>
      </c>
      <c r="H82" s="30">
        <v>1</v>
      </c>
      <c r="I82" s="31">
        <v>305138.22999999986</v>
      </c>
      <c r="J82" s="31">
        <v>757</v>
      </c>
      <c r="K82" s="31">
        <v>757</v>
      </c>
      <c r="L82" s="31">
        <v>339417.95</v>
      </c>
      <c r="M82" s="31">
        <v>3000000</v>
      </c>
      <c r="N82" s="32">
        <f>IFERROR(L82/I82,"")</f>
        <v>1.1123416098992256</v>
      </c>
      <c r="O82" s="32">
        <f>IF(D82="a",K82/25000,IF(D82="b",K82/15000,IF(D82="c",K82/5000)))/H82</f>
        <v>0.15140000000000001</v>
      </c>
    </row>
    <row r="83" spans="1:15" x14ac:dyDescent="0.3">
      <c r="A83" s="1" t="s">
        <v>201</v>
      </c>
      <c r="B83" s="26" t="s">
        <v>202</v>
      </c>
      <c r="C83" s="27" t="s">
        <v>24</v>
      </c>
      <c r="D83" s="27" t="s">
        <v>21</v>
      </c>
      <c r="E83" s="28">
        <v>45774</v>
      </c>
      <c r="F83" s="29">
        <v>4</v>
      </c>
      <c r="H83" s="30">
        <v>1</v>
      </c>
      <c r="I83" s="31">
        <v>1837948.0000000035</v>
      </c>
      <c r="J83" s="31">
        <v>5874</v>
      </c>
      <c r="K83" s="31">
        <v>5194</v>
      </c>
      <c r="L83" s="31">
        <v>2089457.3499999999</v>
      </c>
      <c r="M83" s="31">
        <v>3000000</v>
      </c>
      <c r="N83" s="32">
        <f>IFERROR(L83/I83,"")</f>
        <v>1.136842473236455</v>
      </c>
      <c r="O83" s="32">
        <f>IF(D83="a",K83/25000,IF(D83="b",K83/15000,IF(D83="c",K83/5000)))/H83</f>
        <v>1.0387999999999999</v>
      </c>
    </row>
    <row r="84" spans="1:15" x14ac:dyDescent="0.3">
      <c r="A84" s="1" t="s">
        <v>109</v>
      </c>
      <c r="B84" s="26" t="s">
        <v>110</v>
      </c>
      <c r="C84" s="27" t="s">
        <v>111</v>
      </c>
      <c r="D84" s="27" t="s">
        <v>21</v>
      </c>
      <c r="E84" s="28">
        <v>45742</v>
      </c>
      <c r="F84" s="29">
        <v>3</v>
      </c>
      <c r="H84" s="30">
        <v>1</v>
      </c>
      <c r="I84" s="31">
        <v>1147259.2399999993</v>
      </c>
      <c r="J84" s="31">
        <v>3554</v>
      </c>
      <c r="K84" s="31">
        <v>3554</v>
      </c>
      <c r="L84" s="31">
        <v>1423221.02</v>
      </c>
      <c r="M84" s="31">
        <v>1670000</v>
      </c>
      <c r="N84" s="32">
        <f>IFERROR(L84/I84,"")</f>
        <v>1.2405400369667112</v>
      </c>
      <c r="O84" s="32">
        <f>IF(D84="a",K84/25000,IF(D84="b",K84/15000,IF(D84="c",K84/5000)))/H84</f>
        <v>0.71079999999999999</v>
      </c>
    </row>
    <row r="85" spans="1:15" x14ac:dyDescent="0.3">
      <c r="A85" s="1" t="s">
        <v>209</v>
      </c>
      <c r="B85" s="26" t="s">
        <v>210</v>
      </c>
      <c r="C85" s="27" t="s">
        <v>56</v>
      </c>
      <c r="D85" s="27" t="s">
        <v>35</v>
      </c>
      <c r="E85" s="28">
        <v>45769</v>
      </c>
      <c r="F85" s="29">
        <v>4</v>
      </c>
      <c r="H85" s="30">
        <v>1</v>
      </c>
      <c r="I85" s="31">
        <v>4808439.1699999422</v>
      </c>
      <c r="J85" s="31">
        <v>16425</v>
      </c>
      <c r="K85" s="31">
        <v>14573</v>
      </c>
      <c r="L85" s="31">
        <v>4342920.5999999996</v>
      </c>
      <c r="M85" s="31">
        <v>6000000</v>
      </c>
      <c r="N85" s="32">
        <f>IFERROR(L85/I85,"")</f>
        <v>0.90318717705646923</v>
      </c>
      <c r="O85" s="32">
        <f>IF(D85="a",K85/25000,IF(D85="b",K85/15000,IF(D85="c",K85/5000)))/H85</f>
        <v>0.97153333333333336</v>
      </c>
    </row>
    <row r="86" spans="1:15" x14ac:dyDescent="0.3">
      <c r="A86" s="1" t="s">
        <v>371</v>
      </c>
      <c r="B86" s="26" t="s">
        <v>372</v>
      </c>
      <c r="C86" s="27" t="s">
        <v>31</v>
      </c>
      <c r="D86" s="27" t="s">
        <v>21</v>
      </c>
      <c r="E86" s="28">
        <v>45838</v>
      </c>
      <c r="F86" s="29">
        <v>6</v>
      </c>
      <c r="H86" s="30">
        <v>1</v>
      </c>
      <c r="I86" s="31">
        <v>191788.13999999996</v>
      </c>
      <c r="J86" s="31">
        <v>704</v>
      </c>
      <c r="K86" s="31">
        <v>704</v>
      </c>
      <c r="L86" s="31">
        <v>220576.41</v>
      </c>
      <c r="M86" s="31">
        <v>3000000</v>
      </c>
      <c r="N86" s="32">
        <f>IFERROR(L86/I86,"")</f>
        <v>1.1501045372252947</v>
      </c>
      <c r="O86" s="32">
        <f>IF(D86="a",K86/25000,IF(D86="b",K86/15000,IF(D86="c",K86/5000)))/H86</f>
        <v>0.14080000000000001</v>
      </c>
    </row>
    <row r="87" spans="1:15" x14ac:dyDescent="0.3">
      <c r="A87" s="1" t="s">
        <v>395</v>
      </c>
      <c r="B87" s="26" t="s">
        <v>396</v>
      </c>
      <c r="C87" s="27" t="s">
        <v>24</v>
      </c>
      <c r="D87" s="27" t="s">
        <v>28</v>
      </c>
      <c r="E87" s="28">
        <v>45852</v>
      </c>
      <c r="F87" s="29">
        <v>7</v>
      </c>
      <c r="G87" s="28">
        <v>46393</v>
      </c>
      <c r="H87" s="30">
        <v>2</v>
      </c>
      <c r="I87" s="31">
        <v>8653987.1699999478</v>
      </c>
      <c r="J87" s="31">
        <v>36561</v>
      </c>
      <c r="K87" s="31">
        <v>30240</v>
      </c>
      <c r="L87" s="31">
        <v>12188157.470000001</v>
      </c>
      <c r="M87" s="31">
        <v>18700182.16</v>
      </c>
      <c r="N87" s="32">
        <f>IFERROR(L87/I87,"")</f>
        <v>1.408386357707077</v>
      </c>
      <c r="O87" s="32">
        <f>IF(D87="a",K87/25000,IF(D87="b",K87/15000,IF(D87="c",K87/5000)))/H87</f>
        <v>0.6048</v>
      </c>
    </row>
    <row r="88" spans="1:15" x14ac:dyDescent="0.3">
      <c r="A88" s="1" t="s">
        <v>367</v>
      </c>
      <c r="B88" s="26" t="s">
        <v>368</v>
      </c>
      <c r="C88" s="27" t="s">
        <v>63</v>
      </c>
      <c r="D88" s="27" t="s">
        <v>35</v>
      </c>
      <c r="E88" s="28">
        <v>45827</v>
      </c>
      <c r="F88" s="29">
        <v>6</v>
      </c>
      <c r="H88" s="30">
        <v>1</v>
      </c>
      <c r="I88" s="31">
        <v>1268522.8099999982</v>
      </c>
      <c r="J88" s="31">
        <v>3496</v>
      </c>
      <c r="K88" s="31">
        <v>3496</v>
      </c>
      <c r="L88" s="31">
        <v>1224773.5</v>
      </c>
      <c r="M88" s="31">
        <v>6000000</v>
      </c>
      <c r="N88" s="32">
        <f>IFERROR(L88/I88,"")</f>
        <v>0.96551160952320736</v>
      </c>
      <c r="O88" s="32">
        <f>IF(D88="a",K88/25000,IF(D88="b",K88/15000,IF(D88="c",K88/5000)))/H88</f>
        <v>0.23306666666666667</v>
      </c>
    </row>
    <row r="89" spans="1:15" x14ac:dyDescent="0.3">
      <c r="A89" s="1" t="s">
        <v>295</v>
      </c>
      <c r="B89" s="26" t="s">
        <v>296</v>
      </c>
      <c r="C89" s="27" t="s">
        <v>20</v>
      </c>
      <c r="D89" s="27" t="s">
        <v>28</v>
      </c>
      <c r="E89" s="28">
        <v>45797</v>
      </c>
      <c r="F89" s="29">
        <v>5</v>
      </c>
      <c r="H89" s="30">
        <v>1</v>
      </c>
      <c r="I89" s="31">
        <v>3574099.7599999919</v>
      </c>
      <c r="J89" s="31">
        <v>14141</v>
      </c>
      <c r="K89" s="31">
        <v>12218</v>
      </c>
      <c r="L89" s="31">
        <v>4358492.93</v>
      </c>
      <c r="M89" s="31">
        <v>9000000</v>
      </c>
      <c r="N89" s="32">
        <f>IFERROR(L89/I89,"")</f>
        <v>1.21946594182363</v>
      </c>
      <c r="O89" s="32">
        <f>IF(D89="a",K89/25000,IF(D89="b",K89/15000,IF(D89="c",K89/5000)))/H89</f>
        <v>0.48871999999999999</v>
      </c>
    </row>
    <row r="90" spans="1:15" x14ac:dyDescent="0.3">
      <c r="A90" s="1" t="s">
        <v>397</v>
      </c>
      <c r="B90" s="26" t="s">
        <v>398</v>
      </c>
      <c r="C90" s="27" t="s">
        <v>24</v>
      </c>
      <c r="D90" s="27" t="s">
        <v>21</v>
      </c>
      <c r="E90" s="28">
        <v>45849</v>
      </c>
      <c r="F90" s="29">
        <v>7</v>
      </c>
      <c r="H90" s="30">
        <v>1</v>
      </c>
      <c r="I90" s="31">
        <v>897952.44999999693</v>
      </c>
      <c r="J90" s="31">
        <v>2863</v>
      </c>
      <c r="K90" s="31">
        <v>2823</v>
      </c>
      <c r="L90" s="31">
        <v>1014685.89</v>
      </c>
      <c r="M90" s="31">
        <v>3000000</v>
      </c>
      <c r="N90" s="32">
        <f>IFERROR(L90/I90,"")</f>
        <v>1.1299995784854793</v>
      </c>
      <c r="O90" s="32">
        <f>IF(D90="a",K90/25000,IF(D90="b",K90/15000,IF(D90="c",K90/5000)))/H90</f>
        <v>0.56459999999999999</v>
      </c>
    </row>
    <row r="91" spans="1:15" x14ac:dyDescent="0.3">
      <c r="A91" s="1" t="s">
        <v>70</v>
      </c>
      <c r="B91" s="26" t="s">
        <v>71</v>
      </c>
      <c r="C91" s="27" t="s">
        <v>31</v>
      </c>
      <c r="D91" s="27" t="s">
        <v>21</v>
      </c>
      <c r="E91" s="28">
        <v>45730</v>
      </c>
      <c r="F91" s="29">
        <v>3</v>
      </c>
      <c r="H91" s="30">
        <v>1</v>
      </c>
      <c r="I91" s="31">
        <v>1920601.27</v>
      </c>
      <c r="J91" s="31">
        <v>6442</v>
      </c>
      <c r="K91" s="31">
        <v>5803</v>
      </c>
      <c r="L91" s="31">
        <v>2170278.75</v>
      </c>
      <c r="M91" s="31">
        <v>2170278.75</v>
      </c>
      <c r="N91" s="32">
        <f>IFERROR(L91/I91,"")</f>
        <v>1.1299996432887915</v>
      </c>
      <c r="O91" s="32">
        <f>IF(D91="a",K91/25000,IF(D91="b",K91/15000,IF(D91="c",K91/5000)))/H91</f>
        <v>1.1606000000000001</v>
      </c>
    </row>
    <row r="92" spans="1:15" x14ac:dyDescent="0.3">
      <c r="A92" s="1" t="s">
        <v>399</v>
      </c>
      <c r="B92" s="26" t="s">
        <v>400</v>
      </c>
      <c r="C92" s="27" t="s">
        <v>31</v>
      </c>
      <c r="D92" s="27" t="s">
        <v>28</v>
      </c>
      <c r="E92" s="28">
        <v>45859</v>
      </c>
      <c r="F92" s="29">
        <v>7</v>
      </c>
      <c r="H92" s="30">
        <v>1</v>
      </c>
      <c r="I92" s="31">
        <v>3074906.730000006</v>
      </c>
      <c r="J92" s="31">
        <v>14525</v>
      </c>
      <c r="K92" s="31">
        <v>12675</v>
      </c>
      <c r="L92" s="31">
        <v>3474642.23</v>
      </c>
      <c r="M92" s="31">
        <v>9000000.0199999996</v>
      </c>
      <c r="N92" s="32">
        <f>IFERROR(L92/I92,"")</f>
        <v>1.129999227651368</v>
      </c>
      <c r="O92" s="32">
        <f>IF(D92="a",K92/25000,IF(D92="b",K92/15000,IF(D92="c",K92/5000)))/H92</f>
        <v>0.50700000000000001</v>
      </c>
    </row>
    <row r="93" spans="1:15" x14ac:dyDescent="0.3">
      <c r="A93" s="1" t="s">
        <v>341</v>
      </c>
      <c r="B93" s="26" t="s">
        <v>342</v>
      </c>
      <c r="C93" s="27" t="s">
        <v>31</v>
      </c>
      <c r="D93" s="27" t="s">
        <v>21</v>
      </c>
      <c r="E93" s="28">
        <v>45835</v>
      </c>
      <c r="F93" s="29">
        <v>6</v>
      </c>
      <c r="H93" s="30">
        <v>1</v>
      </c>
      <c r="I93" s="31">
        <v>1775845.5700000082</v>
      </c>
      <c r="J93" s="31">
        <v>5672</v>
      </c>
      <c r="K93" s="31">
        <v>5660</v>
      </c>
      <c r="L93" s="31">
        <v>2031196.2100000002</v>
      </c>
      <c r="M93" s="31">
        <v>3000000</v>
      </c>
      <c r="N93" s="32">
        <f>IFERROR(L93/I93,"")</f>
        <v>1.143791016692961</v>
      </c>
      <c r="O93" s="32">
        <f>IF(D93="a",K93/25000,IF(D93="b",K93/15000,IF(D93="c",K93/5000)))/H93</f>
        <v>1.1319999999999999</v>
      </c>
    </row>
    <row r="94" spans="1:15" x14ac:dyDescent="0.3">
      <c r="A94" s="1" t="s">
        <v>363</v>
      </c>
      <c r="B94" s="26" t="s">
        <v>364</v>
      </c>
      <c r="C94" s="27" t="s">
        <v>31</v>
      </c>
      <c r="D94" s="27" t="s">
        <v>21</v>
      </c>
      <c r="E94" s="28">
        <v>45828</v>
      </c>
      <c r="F94" s="29">
        <v>6</v>
      </c>
      <c r="H94" s="30">
        <v>1</v>
      </c>
      <c r="I94" s="31">
        <v>368327.95000000019</v>
      </c>
      <c r="J94" s="31">
        <v>1241</v>
      </c>
      <c r="K94" s="31">
        <v>1241</v>
      </c>
      <c r="L94" s="31">
        <v>407098.81</v>
      </c>
      <c r="M94" s="31">
        <v>3000000</v>
      </c>
      <c r="N94" s="32">
        <f>IFERROR(L94/I94,"")</f>
        <v>1.1052617918352377</v>
      </c>
      <c r="O94" s="32">
        <f>IF(D94="a",K94/25000,IF(D94="b",K94/15000,IF(D94="c",K94/5000)))/H94</f>
        <v>0.2482</v>
      </c>
    </row>
    <row r="95" spans="1:15" x14ac:dyDescent="0.3">
      <c r="A95" s="1" t="s">
        <v>105</v>
      </c>
      <c r="B95" s="26" t="s">
        <v>106</v>
      </c>
      <c r="C95" s="27" t="s">
        <v>24</v>
      </c>
      <c r="D95" s="27" t="s">
        <v>28</v>
      </c>
      <c r="E95" s="28">
        <v>45734</v>
      </c>
      <c r="F95" s="29">
        <v>3</v>
      </c>
      <c r="G95" s="28">
        <v>46308</v>
      </c>
      <c r="H95" s="30">
        <v>2</v>
      </c>
      <c r="I95" s="31">
        <v>12367923.779999947</v>
      </c>
      <c r="J95" s="31">
        <v>42392</v>
      </c>
      <c r="K95" s="31">
        <v>36264</v>
      </c>
      <c r="L95" s="31">
        <v>13909836.430000002</v>
      </c>
      <c r="M95" s="31">
        <v>18250000</v>
      </c>
      <c r="N95" s="32">
        <f>IFERROR(L95/I95,"")</f>
        <v>1.1246702904567918</v>
      </c>
      <c r="O95" s="32">
        <f>IF(D95="a",K95/25000,IF(D95="b",K95/15000,IF(D95="c",K95/5000)))/H95</f>
        <v>0.72528000000000004</v>
      </c>
    </row>
    <row r="96" spans="1:15" x14ac:dyDescent="0.3">
      <c r="A96" s="1" t="s">
        <v>151</v>
      </c>
      <c r="B96" s="26" t="s">
        <v>152</v>
      </c>
      <c r="C96" s="27" t="s">
        <v>24</v>
      </c>
      <c r="D96" s="27" t="s">
        <v>28</v>
      </c>
      <c r="E96" s="28">
        <v>45722</v>
      </c>
      <c r="F96" s="29">
        <v>3</v>
      </c>
      <c r="H96" s="30">
        <v>1</v>
      </c>
      <c r="I96" s="31">
        <v>4005864.1800000328</v>
      </c>
      <c r="J96" s="31">
        <v>11285</v>
      </c>
      <c r="K96" s="31">
        <v>9798</v>
      </c>
      <c r="L96" s="31">
        <v>4385807.04</v>
      </c>
      <c r="M96" s="31">
        <v>9700000</v>
      </c>
      <c r="N96" s="32">
        <f>IFERROR(L96/I96,"")</f>
        <v>1.0948466655202385</v>
      </c>
      <c r="O96" s="32">
        <f>IF(D96="a",K96/25000,IF(D96="b",K96/15000,IF(D96="c",K96/5000)))/H96</f>
        <v>0.39191999999999999</v>
      </c>
    </row>
    <row r="97" spans="1:15" x14ac:dyDescent="0.3">
      <c r="A97" s="1" t="s">
        <v>315</v>
      </c>
      <c r="B97" s="26" t="s">
        <v>316</v>
      </c>
      <c r="C97" s="27" t="s">
        <v>20</v>
      </c>
      <c r="D97" s="27" t="s">
        <v>21</v>
      </c>
      <c r="E97" s="28">
        <v>45797</v>
      </c>
      <c r="F97" s="29">
        <v>5</v>
      </c>
      <c r="H97" s="30">
        <v>1</v>
      </c>
      <c r="I97" s="31">
        <v>466955.27000000025</v>
      </c>
      <c r="J97" s="31">
        <v>1278</v>
      </c>
      <c r="K97" s="31">
        <v>1278</v>
      </c>
      <c r="L97" s="31">
        <v>536017.05999999994</v>
      </c>
      <c r="M97" s="31">
        <v>3000000</v>
      </c>
      <c r="N97" s="32">
        <f>IFERROR(L97/I97,"")</f>
        <v>1.1478980845424438</v>
      </c>
      <c r="O97" s="32">
        <f>IF(D97="a",K97/25000,IF(D97="b",K97/15000,IF(D97="c",K97/5000)))/H97</f>
        <v>0.25559999999999999</v>
      </c>
    </row>
    <row r="98" spans="1:15" x14ac:dyDescent="0.3">
      <c r="A98" s="1" t="s">
        <v>32</v>
      </c>
      <c r="B98" s="26" t="s">
        <v>33</v>
      </c>
      <c r="C98" s="27" t="s">
        <v>34</v>
      </c>
      <c r="D98" s="27" t="s">
        <v>35</v>
      </c>
      <c r="E98" s="28">
        <v>45709</v>
      </c>
      <c r="F98" s="29">
        <v>2</v>
      </c>
      <c r="H98" s="30">
        <v>1</v>
      </c>
      <c r="I98" s="31">
        <v>6557771.1199999945</v>
      </c>
      <c r="J98" s="31">
        <v>18411</v>
      </c>
      <c r="K98" s="31">
        <v>16921</v>
      </c>
      <c r="L98" s="31">
        <v>6978976.7700000014</v>
      </c>
      <c r="M98" s="31">
        <v>12800000</v>
      </c>
      <c r="N98" s="32">
        <f>IFERROR(L98/I98,"")</f>
        <v>1.0642300016716666</v>
      </c>
      <c r="O98" s="32">
        <f>IF(D98="a",K98/25000,IF(D98="b",K98/15000,IF(D98="c",K98/5000)))/H98</f>
        <v>1.1280666666666668</v>
      </c>
    </row>
    <row r="99" spans="1:15" x14ac:dyDescent="0.3">
      <c r="A99" s="1" t="s">
        <v>90</v>
      </c>
      <c r="B99" s="26" t="s">
        <v>91</v>
      </c>
      <c r="C99" s="27" t="s">
        <v>92</v>
      </c>
      <c r="D99" s="27" t="s">
        <v>21</v>
      </c>
      <c r="E99" s="28">
        <v>45741</v>
      </c>
      <c r="F99" s="29">
        <v>3</v>
      </c>
      <c r="H99" s="30">
        <v>1</v>
      </c>
      <c r="I99" s="31">
        <v>1218230.4699999979</v>
      </c>
      <c r="J99" s="31">
        <v>4171</v>
      </c>
      <c r="K99" s="31">
        <v>4075</v>
      </c>
      <c r="L99" s="31">
        <v>1372955.27</v>
      </c>
      <c r="M99" s="31">
        <v>1850000</v>
      </c>
      <c r="N99" s="32">
        <f>IFERROR(L99/I99,"")</f>
        <v>1.1270078230763694</v>
      </c>
      <c r="O99" s="32">
        <f>IF(D99="a",K99/25000,IF(D99="b",K99/15000,IF(D99="c",K99/5000)))/H99</f>
        <v>0.81499999999999995</v>
      </c>
    </row>
    <row r="100" spans="1:15" x14ac:dyDescent="0.3">
      <c r="A100" s="1" t="s">
        <v>66</v>
      </c>
      <c r="B100" s="26" t="s">
        <v>67</v>
      </c>
      <c r="C100" s="27" t="s">
        <v>27</v>
      </c>
      <c r="D100" s="27" t="s">
        <v>21</v>
      </c>
      <c r="E100" s="28">
        <v>45741</v>
      </c>
      <c r="F100" s="29">
        <v>3</v>
      </c>
      <c r="H100" s="30">
        <v>1</v>
      </c>
      <c r="I100" s="31">
        <v>2592177.5799999912</v>
      </c>
      <c r="J100" s="31">
        <v>8298</v>
      </c>
      <c r="K100" s="31">
        <v>7411</v>
      </c>
      <c r="L100" s="31">
        <v>2947145.8299999996</v>
      </c>
      <c r="M100" s="31">
        <v>3000000</v>
      </c>
      <c r="N100" s="32">
        <f>IFERROR(L100/I100,"")</f>
        <v>1.136938245565726</v>
      </c>
      <c r="O100" s="32">
        <f>IF(D100="a",K100/25000,IF(D100="b",K100/15000,IF(D100="c",K100/5000)))/H100</f>
        <v>1.4822</v>
      </c>
    </row>
    <row r="101" spans="1:15" x14ac:dyDescent="0.3">
      <c r="A101" s="1" t="s">
        <v>186</v>
      </c>
      <c r="B101" s="26" t="s">
        <v>187</v>
      </c>
      <c r="C101" s="27" t="s">
        <v>27</v>
      </c>
      <c r="D101" s="27" t="s">
        <v>21</v>
      </c>
      <c r="E101" s="28">
        <v>45765</v>
      </c>
      <c r="F101" s="29">
        <v>4</v>
      </c>
      <c r="H101" s="30">
        <v>1</v>
      </c>
      <c r="I101" s="31">
        <v>2480334.0699999984</v>
      </c>
      <c r="J101" s="31">
        <v>7619</v>
      </c>
      <c r="K101" s="31">
        <v>6870</v>
      </c>
      <c r="L101" s="31">
        <v>2818971.65</v>
      </c>
      <c r="M101" s="31">
        <v>3000000</v>
      </c>
      <c r="N101" s="32">
        <f>IFERROR(L101/I101,"")</f>
        <v>1.1365290200605929</v>
      </c>
      <c r="O101" s="32">
        <f>IF(D101="a",K101/25000,IF(D101="b",K101/15000,IF(D101="c",K101/5000)))/H101</f>
        <v>1.3740000000000001</v>
      </c>
    </row>
    <row r="102" spans="1:15" x14ac:dyDescent="0.3">
      <c r="A102" s="1" t="s">
        <v>215</v>
      </c>
      <c r="B102" s="26" t="s">
        <v>216</v>
      </c>
      <c r="C102" s="27" t="s">
        <v>27</v>
      </c>
      <c r="D102" s="27" t="s">
        <v>21</v>
      </c>
      <c r="E102" s="28">
        <v>45775</v>
      </c>
      <c r="F102" s="29">
        <v>4</v>
      </c>
      <c r="H102" s="30">
        <v>1</v>
      </c>
      <c r="I102" s="31">
        <v>1499093.5900000003</v>
      </c>
      <c r="J102" s="31">
        <v>4794</v>
      </c>
      <c r="K102" s="31">
        <v>4338</v>
      </c>
      <c r="L102" s="31">
        <v>1692946.34</v>
      </c>
      <c r="M102" s="31">
        <v>3000000</v>
      </c>
      <c r="N102" s="32">
        <f>IFERROR(L102/I102,"")</f>
        <v>1.1293133072498827</v>
      </c>
      <c r="O102" s="32">
        <f>IF(D102="a",K102/25000,IF(D102="b",K102/15000,IF(D102="c",K102/5000)))/H102</f>
        <v>0.86760000000000004</v>
      </c>
    </row>
    <row r="103" spans="1:15" x14ac:dyDescent="0.3">
      <c r="A103" s="1" t="s">
        <v>271</v>
      </c>
      <c r="B103" s="26" t="s">
        <v>272</v>
      </c>
      <c r="C103" s="27" t="s">
        <v>63</v>
      </c>
      <c r="D103" s="27" t="s">
        <v>21</v>
      </c>
      <c r="E103" s="28">
        <v>45797</v>
      </c>
      <c r="F103" s="29">
        <v>5</v>
      </c>
      <c r="H103" s="30">
        <v>1</v>
      </c>
      <c r="I103" s="31">
        <v>1666981.9000000025</v>
      </c>
      <c r="J103" s="31">
        <v>5486</v>
      </c>
      <c r="K103" s="31">
        <v>4889</v>
      </c>
      <c r="L103" s="31">
        <v>1905458.8200000003</v>
      </c>
      <c r="M103" s="31">
        <v>3000000</v>
      </c>
      <c r="N103" s="32">
        <f>IFERROR(L103/I103,"")</f>
        <v>1.1430590938029965</v>
      </c>
      <c r="O103" s="32">
        <f>IF(D103="a",K103/25000,IF(D103="b",K103/15000,IF(D103="c",K103/5000)))/H103</f>
        <v>0.9778</v>
      </c>
    </row>
    <row r="104" spans="1:15" x14ac:dyDescent="0.3">
      <c r="A104" s="1" t="s">
        <v>40</v>
      </c>
      <c r="B104" s="26" t="s">
        <v>41</v>
      </c>
      <c r="C104" s="27" t="s">
        <v>24</v>
      </c>
      <c r="D104" s="27" t="s">
        <v>28</v>
      </c>
      <c r="E104" s="28">
        <v>45707</v>
      </c>
      <c r="F104" s="29">
        <v>2</v>
      </c>
      <c r="G104" s="28">
        <v>46456</v>
      </c>
      <c r="H104" s="30">
        <v>4</v>
      </c>
      <c r="I104" s="31">
        <v>31416405.049999639</v>
      </c>
      <c r="J104" s="31">
        <v>121398</v>
      </c>
      <c r="K104" s="31">
        <v>99807</v>
      </c>
      <c r="L104" s="31">
        <v>35500517.910000004</v>
      </c>
      <c r="M104" s="31">
        <v>46000000</v>
      </c>
      <c r="N104" s="32">
        <f>IFERROR(L104/I104,"")</f>
        <v>1.1299993698674449</v>
      </c>
      <c r="O104" s="32">
        <f>IF(D104="a",K104/25000,IF(D104="b",K104/15000,IF(D104="c",K104/5000)))/H104</f>
        <v>0.99807000000000001</v>
      </c>
    </row>
    <row r="105" spans="1:15" x14ac:dyDescent="0.3">
      <c r="A105" s="1" t="s">
        <v>233</v>
      </c>
      <c r="B105" s="26" t="s">
        <v>234</v>
      </c>
      <c r="C105" s="27" t="s">
        <v>24</v>
      </c>
      <c r="D105" s="27" t="s">
        <v>21</v>
      </c>
      <c r="E105" s="28">
        <v>45776</v>
      </c>
      <c r="F105" s="29">
        <v>4</v>
      </c>
      <c r="H105" s="30">
        <v>1</v>
      </c>
      <c r="I105" s="31">
        <v>780981.02999999933</v>
      </c>
      <c r="J105" s="31">
        <v>2126</v>
      </c>
      <c r="K105" s="31">
        <v>2126</v>
      </c>
      <c r="L105" s="31">
        <v>882889.72000000009</v>
      </c>
      <c r="M105" s="31">
        <v>3000000</v>
      </c>
      <c r="N105" s="32">
        <f>IFERROR(L105/I105,"")</f>
        <v>1.1304880478338901</v>
      </c>
      <c r="O105" s="32">
        <f>IF(D105="a",K105/25000,IF(D105="b",K105/15000,IF(D105="c",K105/5000)))/H105</f>
        <v>0.42520000000000002</v>
      </c>
    </row>
    <row r="106" spans="1:15" x14ac:dyDescent="0.3">
      <c r="A106" s="1" t="s">
        <v>160</v>
      </c>
      <c r="B106" s="26" t="s">
        <v>161</v>
      </c>
      <c r="C106" s="27" t="s">
        <v>24</v>
      </c>
      <c r="D106" s="27" t="s">
        <v>21</v>
      </c>
      <c r="E106" s="28">
        <v>45719</v>
      </c>
      <c r="F106" s="29">
        <v>3</v>
      </c>
      <c r="H106" s="30">
        <v>1</v>
      </c>
      <c r="I106" s="31">
        <v>370868.82999999955</v>
      </c>
      <c r="J106" s="31">
        <v>1184</v>
      </c>
      <c r="K106" s="31">
        <v>1184</v>
      </c>
      <c r="L106" s="31">
        <v>530551.75</v>
      </c>
      <c r="M106" s="31">
        <v>3000000</v>
      </c>
      <c r="N106" s="32">
        <f>IFERROR(L106/I106,"")</f>
        <v>1.4305644127601682</v>
      </c>
      <c r="O106" s="32">
        <f>IF(D106="a",K106/25000,IF(D106="b",K106/15000,IF(D106="c",K106/5000)))/H106</f>
        <v>0.23680000000000001</v>
      </c>
    </row>
    <row r="107" spans="1:15" x14ac:dyDescent="0.3">
      <c r="A107" s="1" t="s">
        <v>116</v>
      </c>
      <c r="B107" s="26" t="s">
        <v>117</v>
      </c>
      <c r="C107" s="27" t="s">
        <v>20</v>
      </c>
      <c r="D107" s="27" t="s">
        <v>35</v>
      </c>
      <c r="E107" s="28">
        <v>45747</v>
      </c>
      <c r="F107" s="29">
        <v>3</v>
      </c>
      <c r="H107" s="30">
        <v>1</v>
      </c>
      <c r="I107" s="31">
        <v>3793554.7299999986</v>
      </c>
      <c r="J107" s="31">
        <v>12167</v>
      </c>
      <c r="K107" s="31">
        <v>10503</v>
      </c>
      <c r="L107" s="31">
        <v>4390000</v>
      </c>
      <c r="M107" s="31">
        <v>6000000</v>
      </c>
      <c r="N107" s="32">
        <f>IFERROR(L107/I107,"")</f>
        <v>1.1572259562471112</v>
      </c>
      <c r="O107" s="32">
        <f>IF(D107="a",K107/25000,IF(D107="b",K107/15000,IF(D107="c",K107/5000)))/H107</f>
        <v>0.70020000000000004</v>
      </c>
    </row>
    <row r="108" spans="1:15" x14ac:dyDescent="0.3">
      <c r="A108" s="1" t="s">
        <v>74</v>
      </c>
      <c r="B108" s="26" t="s">
        <v>75</v>
      </c>
      <c r="C108" s="27" t="s">
        <v>24</v>
      </c>
      <c r="D108" s="27" t="s">
        <v>35</v>
      </c>
      <c r="E108" s="28">
        <v>45719</v>
      </c>
      <c r="F108" s="29">
        <v>3</v>
      </c>
      <c r="H108" s="30">
        <v>1</v>
      </c>
      <c r="I108" s="31">
        <v>5228567.4899999499</v>
      </c>
      <c r="J108" s="31">
        <v>17595</v>
      </c>
      <c r="K108" s="31">
        <v>15196</v>
      </c>
      <c r="L108" s="31">
        <v>5917707.9100000001</v>
      </c>
      <c r="M108" s="31">
        <v>6000000</v>
      </c>
      <c r="N108" s="32">
        <f>IFERROR(L108/I108,"")</f>
        <v>1.1318029118526414</v>
      </c>
      <c r="O108" s="32">
        <f>IF(D108="a",K108/25000,IF(D108="b",K108/15000,IF(D108="c",K108/5000)))/H108</f>
        <v>1.0130666666666666</v>
      </c>
    </row>
    <row r="109" spans="1:15" x14ac:dyDescent="0.3">
      <c r="B109" s="26" t="s">
        <v>445</v>
      </c>
      <c r="C109" s="27" t="s">
        <v>24</v>
      </c>
      <c r="D109" s="27" t="s">
        <v>28</v>
      </c>
      <c r="E109" s="28">
        <v>45954</v>
      </c>
      <c r="F109" s="29">
        <v>10</v>
      </c>
      <c r="H109" s="30">
        <v>1</v>
      </c>
      <c r="I109" s="34">
        <v>1569364.939999999</v>
      </c>
      <c r="J109" s="34">
        <v>4725</v>
      </c>
      <c r="K109" s="34">
        <v>4725</v>
      </c>
      <c r="L109" s="31">
        <v>727836.16000000003</v>
      </c>
      <c r="M109" s="31">
        <v>9000000</v>
      </c>
      <c r="N109" s="32">
        <f>IFERROR(L109/I109,"")</f>
        <v>0.46377750735275153</v>
      </c>
      <c r="O109" s="32">
        <f>IF(D109="a",K109/25000,IF(D109="b",K109/15000,IF(D109="c",K109/5000)))/H109</f>
        <v>0.189</v>
      </c>
    </row>
    <row r="110" spans="1:15" x14ac:dyDescent="0.3">
      <c r="A110" s="1" t="s">
        <v>64</v>
      </c>
      <c r="B110" s="26" t="s">
        <v>65</v>
      </c>
      <c r="C110" s="27" t="s">
        <v>63</v>
      </c>
      <c r="D110" s="27" t="s">
        <v>21</v>
      </c>
      <c r="E110" s="28">
        <v>45728</v>
      </c>
      <c r="F110" s="29">
        <v>3</v>
      </c>
      <c r="H110" s="30">
        <v>1</v>
      </c>
      <c r="I110" s="31">
        <v>2654867.6200000127</v>
      </c>
      <c r="J110" s="31">
        <v>8719</v>
      </c>
      <c r="K110" s="31">
        <v>7611</v>
      </c>
      <c r="L110" s="31">
        <v>3000000</v>
      </c>
      <c r="M110" s="31">
        <v>3000000</v>
      </c>
      <c r="N110" s="32">
        <f>IFERROR(L110/I110,"")</f>
        <v>1.1299998453406825</v>
      </c>
      <c r="O110" s="32">
        <f>IF(D110="a",K110/25000,IF(D110="b",K110/15000,IF(D110="c",K110/5000)))/H110</f>
        <v>1.5222</v>
      </c>
    </row>
    <row r="111" spans="1:15" x14ac:dyDescent="0.3">
      <c r="A111" s="1" t="s">
        <v>293</v>
      </c>
      <c r="B111" s="26" t="s">
        <v>294</v>
      </c>
      <c r="C111" s="27" t="s">
        <v>63</v>
      </c>
      <c r="D111" s="27" t="s">
        <v>35</v>
      </c>
      <c r="E111" s="28">
        <v>45804</v>
      </c>
      <c r="F111" s="29">
        <v>5</v>
      </c>
      <c r="G111" s="28">
        <v>46346</v>
      </c>
      <c r="H111" s="30">
        <v>2</v>
      </c>
      <c r="I111" s="31">
        <v>5688997.0099999998</v>
      </c>
      <c r="J111" s="31">
        <v>18577</v>
      </c>
      <c r="K111" s="31">
        <v>15743</v>
      </c>
      <c r="L111" s="31">
        <v>6428565.6699999999</v>
      </c>
      <c r="M111" s="31">
        <v>6428565.6699999999</v>
      </c>
      <c r="N111" s="32">
        <f>IFERROR(L111/I111,"")</f>
        <v>1.129999832782475</v>
      </c>
      <c r="O111" s="32">
        <f>IF(D111="a",K111/25000,IF(D111="b",K111/15000,IF(D111="c",K111/5000)))/H111</f>
        <v>0.52476666666666671</v>
      </c>
    </row>
    <row r="112" spans="1:15" x14ac:dyDescent="0.3">
      <c r="B112" s="26" t="s">
        <v>458</v>
      </c>
      <c r="C112" s="27" t="s">
        <v>63</v>
      </c>
      <c r="D112" s="27" t="s">
        <v>28</v>
      </c>
      <c r="E112" s="28">
        <v>46086</v>
      </c>
      <c r="F112" s="29" t="s">
        <v>459</v>
      </c>
      <c r="H112" s="30">
        <v>1</v>
      </c>
      <c r="I112" s="34">
        <v>0</v>
      </c>
      <c r="J112" s="34">
        <v>6148</v>
      </c>
      <c r="K112" s="34">
        <v>6148</v>
      </c>
      <c r="L112" s="31">
        <v>1400000</v>
      </c>
      <c r="M112" s="34">
        <v>9000000</v>
      </c>
      <c r="N112" s="32" t="str">
        <f>IFERROR(L112/I112,"")</f>
        <v/>
      </c>
      <c r="O112" s="32">
        <f>IF(D112="a",K112/25000,IF(D112="b",K112/15000,IF(D112="c",K112/5000)))/H112</f>
        <v>0.24592</v>
      </c>
    </row>
    <row r="113" spans="1:15" x14ac:dyDescent="0.3">
      <c r="A113" s="1" t="s">
        <v>97</v>
      </c>
      <c r="B113" s="26" t="s">
        <v>98</v>
      </c>
      <c r="C113" s="27" t="s">
        <v>63</v>
      </c>
      <c r="D113" s="27" t="s">
        <v>21</v>
      </c>
      <c r="E113" s="28">
        <v>45741</v>
      </c>
      <c r="F113" s="29">
        <v>3</v>
      </c>
      <c r="H113" s="30">
        <v>1</v>
      </c>
      <c r="I113" s="31">
        <v>1360935.5200000007</v>
      </c>
      <c r="J113" s="31">
        <v>3913</v>
      </c>
      <c r="K113" s="31">
        <v>3903</v>
      </c>
      <c r="L113" s="31">
        <v>1484136.04</v>
      </c>
      <c r="M113" s="31">
        <v>3000000</v>
      </c>
      <c r="N113" s="32">
        <f>IFERROR(L113/I113,"")</f>
        <v>1.090526346171051</v>
      </c>
      <c r="O113" s="32">
        <f>IF(D113="a",K113/25000,IF(D113="b",K113/15000,IF(D113="c",K113/5000)))/H113</f>
        <v>0.78059999999999996</v>
      </c>
    </row>
    <row r="114" spans="1:15" x14ac:dyDescent="0.3">
      <c r="A114" s="1" t="s">
        <v>287</v>
      </c>
      <c r="B114" s="26" t="s">
        <v>288</v>
      </c>
      <c r="C114" s="27" t="s">
        <v>63</v>
      </c>
      <c r="D114" s="27" t="s">
        <v>35</v>
      </c>
      <c r="E114" s="28">
        <v>45796</v>
      </c>
      <c r="F114" s="29">
        <v>5</v>
      </c>
      <c r="H114" s="30">
        <v>1</v>
      </c>
      <c r="I114" s="31">
        <v>3745914.7500000033</v>
      </c>
      <c r="J114" s="31">
        <v>9759</v>
      </c>
      <c r="K114" s="31">
        <v>9739</v>
      </c>
      <c r="L114" s="31">
        <v>4067868.46</v>
      </c>
      <c r="M114" s="31">
        <v>6050000</v>
      </c>
      <c r="N114" s="32">
        <f>IFERROR(L114/I114,"")</f>
        <v>1.0859479543681543</v>
      </c>
      <c r="O114" s="32">
        <f>IF(D114="a",K114/25000,IF(D114="b",K114/15000,IF(D114="c",K114/5000)))/H114</f>
        <v>0.64926666666666666</v>
      </c>
    </row>
    <row r="115" spans="1:15" x14ac:dyDescent="0.3">
      <c r="A115" s="1" t="s">
        <v>389</v>
      </c>
      <c r="B115" s="26" t="s">
        <v>390</v>
      </c>
      <c r="C115" s="27" t="s">
        <v>63</v>
      </c>
      <c r="D115" s="27" t="s">
        <v>21</v>
      </c>
      <c r="E115" s="28">
        <v>45868</v>
      </c>
      <c r="F115" s="29">
        <v>7</v>
      </c>
      <c r="H115" s="30">
        <v>1</v>
      </c>
      <c r="I115" s="31">
        <v>1207693.0299999993</v>
      </c>
      <c r="J115" s="31">
        <v>4440</v>
      </c>
      <c r="K115" s="31">
        <v>4440</v>
      </c>
      <c r="L115" s="31">
        <v>1334009.8900000001</v>
      </c>
      <c r="M115" s="31">
        <v>3000000</v>
      </c>
      <c r="N115" s="32">
        <f>IFERROR(L115/I115,"")</f>
        <v>1.1045935157877005</v>
      </c>
      <c r="O115" s="32">
        <f>IF(D115="a",K115/25000,IF(D115="b",K115/15000,IF(D115="c",K115/5000)))/H115</f>
        <v>0.88800000000000001</v>
      </c>
    </row>
    <row r="116" spans="1:15" x14ac:dyDescent="0.3">
      <c r="A116" s="1" t="s">
        <v>135</v>
      </c>
      <c r="B116" s="26" t="s">
        <v>136</v>
      </c>
      <c r="C116" s="27" t="s">
        <v>20</v>
      </c>
      <c r="D116" s="27" t="s">
        <v>28</v>
      </c>
      <c r="E116" s="28">
        <v>45729</v>
      </c>
      <c r="F116" s="29">
        <v>3</v>
      </c>
      <c r="G116" s="28">
        <v>46326</v>
      </c>
      <c r="H116" s="30">
        <v>2</v>
      </c>
      <c r="I116" s="31">
        <v>9743537.8100000359</v>
      </c>
      <c r="J116" s="31">
        <v>33586</v>
      </c>
      <c r="K116" s="31">
        <v>27865</v>
      </c>
      <c r="L116" s="31">
        <v>11850000</v>
      </c>
      <c r="M116" s="31">
        <v>20000000</v>
      </c>
      <c r="N116" s="32">
        <f>IFERROR(L116/I116,"")</f>
        <v>1.2161906928547093</v>
      </c>
      <c r="O116" s="32">
        <f>IF(D116="a",K116/25000,IF(D116="b",K116/15000,IF(D116="c",K116/5000)))/H116</f>
        <v>0.55730000000000002</v>
      </c>
    </row>
    <row r="117" spans="1:15" x14ac:dyDescent="0.3">
      <c r="A117" s="1" t="s">
        <v>61</v>
      </c>
      <c r="B117" s="26" t="s">
        <v>62</v>
      </c>
      <c r="C117" s="27" t="s">
        <v>63</v>
      </c>
      <c r="D117" s="27" t="s">
        <v>21</v>
      </c>
      <c r="E117" s="28">
        <v>45743</v>
      </c>
      <c r="F117" s="29">
        <v>3</v>
      </c>
      <c r="H117" s="30">
        <v>1</v>
      </c>
      <c r="I117" s="31">
        <v>2655021.6899999985</v>
      </c>
      <c r="J117" s="31">
        <v>8503</v>
      </c>
      <c r="K117" s="31">
        <v>7661</v>
      </c>
      <c r="L117" s="31">
        <v>3000000</v>
      </c>
      <c r="M117" s="31">
        <v>3000000</v>
      </c>
      <c r="N117" s="32">
        <f>IFERROR(L117/I117,"")</f>
        <v>1.1299342718364014</v>
      </c>
      <c r="O117" s="32">
        <f>IF(D117="a",K117/25000,IF(D117="b",K117/15000,IF(D117="c",K117/5000)))/H117</f>
        <v>1.5322</v>
      </c>
    </row>
    <row r="118" spans="1:15" x14ac:dyDescent="0.3">
      <c r="A118" s="1" t="s">
        <v>423</v>
      </c>
      <c r="B118" s="26" t="s">
        <v>424</v>
      </c>
      <c r="C118" s="27" t="s">
        <v>63</v>
      </c>
      <c r="D118" s="27" t="s">
        <v>35</v>
      </c>
      <c r="E118" s="28">
        <v>45889</v>
      </c>
      <c r="F118" s="29">
        <v>8</v>
      </c>
      <c r="H118" s="30">
        <v>1</v>
      </c>
      <c r="I118" s="31">
        <v>3176477.280000011</v>
      </c>
      <c r="J118" s="31">
        <v>9641</v>
      </c>
      <c r="K118" s="31">
        <v>9641</v>
      </c>
      <c r="L118" s="31">
        <v>3403564.9</v>
      </c>
      <c r="M118" s="31">
        <v>6000000</v>
      </c>
      <c r="N118" s="32">
        <f>IFERROR(L118/I118,"")</f>
        <v>1.0714903964305982</v>
      </c>
      <c r="O118" s="32">
        <f>IF(D118="a",K118/25000,IF(D118="b",K118/15000,IF(D118="c",K118/5000)))/H118</f>
        <v>0.64273333333333338</v>
      </c>
    </row>
    <row r="119" spans="1:15" x14ac:dyDescent="0.3">
      <c r="A119" s="1" t="s">
        <v>42</v>
      </c>
      <c r="B119" s="26" t="s">
        <v>43</v>
      </c>
      <c r="C119" s="27" t="s">
        <v>34</v>
      </c>
      <c r="D119" s="27" t="s">
        <v>21</v>
      </c>
      <c r="E119" s="28">
        <v>45709</v>
      </c>
      <c r="F119" s="29">
        <v>2</v>
      </c>
      <c r="G119" s="28">
        <v>46309</v>
      </c>
      <c r="H119" s="30">
        <v>2</v>
      </c>
      <c r="I119" s="31">
        <v>3964464.9999999916</v>
      </c>
      <c r="J119" s="31">
        <v>9211</v>
      </c>
      <c r="K119" s="31">
        <v>9179</v>
      </c>
      <c r="L119" s="31">
        <v>4480575.5</v>
      </c>
      <c r="M119" s="31">
        <v>7600000</v>
      </c>
      <c r="N119" s="32">
        <f>IFERROR(L119/I119,"")</f>
        <v>1.130184148428605</v>
      </c>
      <c r="O119" s="32">
        <f>IF(D119="a",K119/25000,IF(D119="b",K119/15000,IF(D119="c",K119/5000)))/H119</f>
        <v>0.91790000000000005</v>
      </c>
    </row>
    <row r="120" spans="1:15" x14ac:dyDescent="0.3">
      <c r="A120" s="1" t="s">
        <v>184</v>
      </c>
      <c r="B120" s="26" t="s">
        <v>185</v>
      </c>
      <c r="C120" s="27" t="s">
        <v>34</v>
      </c>
      <c r="D120" s="27" t="s">
        <v>21</v>
      </c>
      <c r="E120" s="28">
        <v>45777</v>
      </c>
      <c r="F120" s="29">
        <v>4</v>
      </c>
      <c r="H120" s="30">
        <v>1</v>
      </c>
      <c r="I120" s="31">
        <v>2075616.4500000004</v>
      </c>
      <c r="J120" s="31">
        <v>6935</v>
      </c>
      <c r="K120" s="31">
        <v>6935</v>
      </c>
      <c r="L120" s="31">
        <v>2345445.69</v>
      </c>
      <c r="M120" s="31">
        <v>3000000</v>
      </c>
      <c r="N120" s="32">
        <f>IFERROR(L120/I120,"")</f>
        <v>1.1299995671165544</v>
      </c>
      <c r="O120" s="32">
        <f>IF(D120="a",K120/25000,IF(D120="b",K120/15000,IF(D120="c",K120/5000)))/H120</f>
        <v>1.387</v>
      </c>
    </row>
    <row r="121" spans="1:15" x14ac:dyDescent="0.3">
      <c r="A121" s="1" t="s">
        <v>125</v>
      </c>
      <c r="B121" s="26" t="s">
        <v>126</v>
      </c>
      <c r="C121" s="27" t="s">
        <v>31</v>
      </c>
      <c r="D121" s="27" t="s">
        <v>21</v>
      </c>
      <c r="E121" s="28">
        <v>45730</v>
      </c>
      <c r="F121" s="29">
        <v>3</v>
      </c>
      <c r="G121" s="28">
        <v>46464</v>
      </c>
      <c r="H121" s="30">
        <v>2</v>
      </c>
      <c r="I121" s="31">
        <v>2268852.8299999977</v>
      </c>
      <c r="J121" s="31">
        <v>6466</v>
      </c>
      <c r="K121" s="31">
        <v>6466</v>
      </c>
      <c r="L121" s="31">
        <v>2565644.1700000004</v>
      </c>
      <c r="M121" s="31">
        <v>3710000</v>
      </c>
      <c r="N121" s="32">
        <f>IFERROR(L121/I121,"")</f>
        <v>1.1308111906050791</v>
      </c>
      <c r="O121" s="32">
        <f>IF(D121="a",K121/25000,IF(D121="b",K121/15000,IF(D121="c",K121/5000)))/H121</f>
        <v>0.64659999999999995</v>
      </c>
    </row>
    <row r="122" spans="1:15" x14ac:dyDescent="0.3">
      <c r="A122" s="1" t="s">
        <v>141</v>
      </c>
      <c r="B122" s="26" t="s">
        <v>142</v>
      </c>
      <c r="C122" s="27" t="s">
        <v>31</v>
      </c>
      <c r="D122" s="27" t="s">
        <v>35</v>
      </c>
      <c r="E122" s="28">
        <v>45727</v>
      </c>
      <c r="F122" s="29">
        <v>3</v>
      </c>
      <c r="G122" s="28">
        <v>46459</v>
      </c>
      <c r="H122" s="30">
        <v>2</v>
      </c>
      <c r="I122" s="31">
        <v>5196725.1300000073</v>
      </c>
      <c r="J122" s="31">
        <v>17315</v>
      </c>
      <c r="K122" s="31">
        <v>16062</v>
      </c>
      <c r="L122" s="31">
        <v>6271387.6000000006</v>
      </c>
      <c r="M122" s="31">
        <v>7100000</v>
      </c>
      <c r="N122" s="32">
        <f>IFERROR(L122/I122,"")</f>
        <v>1.2067960962176176</v>
      </c>
      <c r="O122" s="32">
        <f>IF(D122="a",K122/25000,IF(D122="b",K122/15000,IF(D122="c",K122/5000)))/H122</f>
        <v>0.53539999999999999</v>
      </c>
    </row>
    <row r="123" spans="1:15" x14ac:dyDescent="0.3">
      <c r="A123" s="1" t="s">
        <v>80</v>
      </c>
      <c r="B123" s="26" t="s">
        <v>81</v>
      </c>
      <c r="C123" s="27" t="s">
        <v>31</v>
      </c>
      <c r="D123" s="27" t="s">
        <v>21</v>
      </c>
      <c r="E123" s="28">
        <v>45741</v>
      </c>
      <c r="F123" s="29">
        <v>3</v>
      </c>
      <c r="H123" s="30">
        <v>1</v>
      </c>
      <c r="I123" s="31">
        <v>1708789.52</v>
      </c>
      <c r="J123" s="31">
        <v>5550</v>
      </c>
      <c r="K123" s="31">
        <v>5000</v>
      </c>
      <c r="L123" s="31">
        <v>1930931.67</v>
      </c>
      <c r="M123" s="31">
        <v>1930931.67</v>
      </c>
      <c r="N123" s="32">
        <f>IFERROR(L123/I123,"")</f>
        <v>1.1299997146518079</v>
      </c>
      <c r="O123" s="32">
        <f>IF(D123="a",K123/25000,IF(D123="b",K123/15000,IF(D123="c",K123/5000)))/H123</f>
        <v>1</v>
      </c>
    </row>
    <row r="124" spans="1:15" x14ac:dyDescent="0.3">
      <c r="A124" s="1" t="s">
        <v>387</v>
      </c>
      <c r="B124" s="26" t="s">
        <v>388</v>
      </c>
      <c r="C124" s="27" t="s">
        <v>31</v>
      </c>
      <c r="D124" s="27" t="s">
        <v>21</v>
      </c>
      <c r="E124" s="28">
        <v>45847</v>
      </c>
      <c r="F124" s="29">
        <v>7</v>
      </c>
      <c r="G124" s="28">
        <v>46423</v>
      </c>
      <c r="H124" s="30">
        <v>2</v>
      </c>
      <c r="I124" s="31">
        <v>2811907.6199999987</v>
      </c>
      <c r="J124" s="31">
        <v>9748</v>
      </c>
      <c r="K124" s="31">
        <v>9088</v>
      </c>
      <c r="L124" s="31">
        <v>3168926.1499999994</v>
      </c>
      <c r="M124" s="31">
        <v>4100000</v>
      </c>
      <c r="N124" s="32">
        <f>IFERROR(L124/I124,"")</f>
        <v>1.1269666640044174</v>
      </c>
      <c r="O124" s="32">
        <f>IF(D124="a",K124/25000,IF(D124="b",K124/15000,IF(D124="c",K124/5000)))/H124</f>
        <v>0.90880000000000005</v>
      </c>
    </row>
    <row r="125" spans="1:15" x14ac:dyDescent="0.3">
      <c r="A125" s="1" t="s">
        <v>229</v>
      </c>
      <c r="B125" s="26" t="s">
        <v>230</v>
      </c>
      <c r="C125" s="27" t="s">
        <v>31</v>
      </c>
      <c r="D125" s="27" t="s">
        <v>21</v>
      </c>
      <c r="E125" s="28">
        <v>45763</v>
      </c>
      <c r="F125" s="29">
        <v>4</v>
      </c>
      <c r="H125" s="30">
        <v>1</v>
      </c>
      <c r="I125" s="31">
        <v>1100747.4499999988</v>
      </c>
      <c r="J125" s="31">
        <v>2555</v>
      </c>
      <c r="K125" s="31">
        <v>2555</v>
      </c>
      <c r="L125" s="31">
        <v>1222885.1100000001</v>
      </c>
      <c r="M125" s="31">
        <v>2815813.52</v>
      </c>
      <c r="N125" s="32">
        <f>IFERROR(L125/I125,"")</f>
        <v>1.1109588398319719</v>
      </c>
      <c r="O125" s="32">
        <f>IF(D125="a",K125/25000,IF(D125="b",K125/15000,IF(D125="c",K125/5000)))/H125</f>
        <v>0.51100000000000001</v>
      </c>
    </row>
    <row r="126" spans="1:15" x14ac:dyDescent="0.3">
      <c r="B126" s="26" t="s">
        <v>461</v>
      </c>
      <c r="C126" s="27" t="s">
        <v>431</v>
      </c>
      <c r="D126" s="27" t="s">
        <v>21</v>
      </c>
      <c r="E126" s="28">
        <v>46100</v>
      </c>
      <c r="F126" s="29" t="s">
        <v>459</v>
      </c>
      <c r="H126" s="30">
        <v>1</v>
      </c>
      <c r="I126" s="34">
        <v>0</v>
      </c>
      <c r="J126" s="34">
        <v>365</v>
      </c>
      <c r="K126" s="34">
        <v>365</v>
      </c>
      <c r="L126" s="31">
        <v>100000</v>
      </c>
      <c r="M126" s="34">
        <v>3000000</v>
      </c>
      <c r="N126" s="32" t="str">
        <f>IFERROR(L126/I126,"")</f>
        <v/>
      </c>
      <c r="O126" s="32">
        <f>IF(D126="a",K126/25000,IF(D126="b",K126/15000,IF(D126="c",K126/5000)))/H126</f>
        <v>7.2999999999999995E-2</v>
      </c>
    </row>
    <row r="127" spans="1:15" x14ac:dyDescent="0.3">
      <c r="A127" s="1" t="s">
        <v>373</v>
      </c>
      <c r="B127" s="26" t="s">
        <v>374</v>
      </c>
      <c r="C127" s="27" t="s">
        <v>27</v>
      </c>
      <c r="D127" s="27" t="s">
        <v>21</v>
      </c>
      <c r="E127" s="28">
        <v>45828</v>
      </c>
      <c r="F127" s="29">
        <v>6</v>
      </c>
      <c r="H127" s="30">
        <v>1</v>
      </c>
      <c r="I127" s="31">
        <v>180991.22000000006</v>
      </c>
      <c r="J127" s="31">
        <v>514</v>
      </c>
      <c r="K127" s="31">
        <v>493</v>
      </c>
      <c r="L127" s="31">
        <v>207259.62</v>
      </c>
      <c r="M127" s="31">
        <v>3000000</v>
      </c>
      <c r="N127" s="32">
        <f>IFERROR(L127/I127,"")</f>
        <v>1.1451363220823636</v>
      </c>
      <c r="O127" s="32">
        <f>IF(D127="a",K127/25000,IF(D127="b",K127/15000,IF(D127="c",K127/5000)))/H127</f>
        <v>9.8599999999999993E-2</v>
      </c>
    </row>
    <row r="128" spans="1:15" x14ac:dyDescent="0.3">
      <c r="A128" s="1" t="s">
        <v>213</v>
      </c>
      <c r="B128" s="26" t="s">
        <v>214</v>
      </c>
      <c r="C128" s="27" t="s">
        <v>24</v>
      </c>
      <c r="D128" s="27" t="s">
        <v>28</v>
      </c>
      <c r="E128" s="28">
        <v>45775</v>
      </c>
      <c r="F128" s="29">
        <v>4</v>
      </c>
      <c r="G128" s="28">
        <v>46304</v>
      </c>
      <c r="H128" s="30">
        <v>2</v>
      </c>
      <c r="I128" s="31">
        <v>14132750.570000008</v>
      </c>
      <c r="J128" s="31">
        <v>53935</v>
      </c>
      <c r="K128" s="31">
        <v>46185</v>
      </c>
      <c r="L128" s="31">
        <v>17138551.210000001</v>
      </c>
      <c r="M128" s="31">
        <v>20250000</v>
      </c>
      <c r="N128" s="32">
        <f>IFERROR(L128/I128,"")</f>
        <v>1.2126833432113697</v>
      </c>
      <c r="O128" s="32">
        <f>IF(D128="a",K128/25000,IF(D128="b",K128/15000,IF(D128="c",K128/5000)))/H128</f>
        <v>0.92369999999999997</v>
      </c>
    </row>
    <row r="129" spans="1:15" x14ac:dyDescent="0.3">
      <c r="B129" s="26" t="s">
        <v>435</v>
      </c>
      <c r="C129" s="27" t="s">
        <v>56</v>
      </c>
      <c r="D129" s="27" t="s">
        <v>35</v>
      </c>
      <c r="E129" s="28">
        <v>45923</v>
      </c>
      <c r="F129" s="29">
        <v>9</v>
      </c>
      <c r="H129" s="30">
        <v>1</v>
      </c>
      <c r="I129" s="34">
        <v>1137817.8800000006</v>
      </c>
      <c r="J129" s="34">
        <v>3967</v>
      </c>
      <c r="K129" s="34">
        <v>3967</v>
      </c>
      <c r="L129" s="31">
        <v>1252646.1900000002</v>
      </c>
      <c r="M129" s="31">
        <v>6000000</v>
      </c>
      <c r="N129" s="32">
        <f>IFERROR(L129/I129,"")</f>
        <v>1.1009197623085336</v>
      </c>
      <c r="O129" s="32">
        <f>IF(D129="a",K129/25000,IF(D129="b",K129/15000,IF(D129="c",K129/5000)))/H129</f>
        <v>0.26446666666666668</v>
      </c>
    </row>
    <row r="130" spans="1:15" x14ac:dyDescent="0.3">
      <c r="A130" s="1" t="s">
        <v>157</v>
      </c>
      <c r="B130" s="26" t="s">
        <v>158</v>
      </c>
      <c r="C130" s="27" t="s">
        <v>159</v>
      </c>
      <c r="D130" s="27" t="s">
        <v>21</v>
      </c>
      <c r="E130" s="28">
        <v>45741</v>
      </c>
      <c r="F130" s="29">
        <v>3</v>
      </c>
      <c r="H130" s="30">
        <v>1</v>
      </c>
      <c r="I130" s="31">
        <v>524391.41000000061</v>
      </c>
      <c r="J130" s="31">
        <v>1447</v>
      </c>
      <c r="K130" s="31">
        <v>1446</v>
      </c>
      <c r="L130" s="31">
        <v>589458.03999999992</v>
      </c>
      <c r="M130" s="31">
        <v>3700000</v>
      </c>
      <c r="N130" s="32">
        <f>IFERROR(L130/I130,"")</f>
        <v>1.1240802743126537</v>
      </c>
      <c r="O130" s="32">
        <f>IF(D130="a",K130/25000,IF(D130="b",K130/15000,IF(D130="c",K130/5000)))/H130</f>
        <v>0.28920000000000001</v>
      </c>
    </row>
    <row r="131" spans="1:15" x14ac:dyDescent="0.3">
      <c r="A131" s="1" t="s">
        <v>231</v>
      </c>
      <c r="B131" s="26" t="s">
        <v>232</v>
      </c>
      <c r="C131" s="27" t="s">
        <v>31</v>
      </c>
      <c r="D131" s="27" t="s">
        <v>21</v>
      </c>
      <c r="E131" s="28">
        <v>45763</v>
      </c>
      <c r="F131" s="29">
        <v>4</v>
      </c>
      <c r="H131" s="30">
        <v>1</v>
      </c>
      <c r="I131" s="31">
        <v>830764.67000000062</v>
      </c>
      <c r="J131" s="31">
        <v>2350</v>
      </c>
      <c r="K131" s="31">
        <v>2348</v>
      </c>
      <c r="L131" s="31">
        <v>936169.57000000007</v>
      </c>
      <c r="M131" s="31">
        <v>3000000</v>
      </c>
      <c r="N131" s="32">
        <f>IFERROR(L131/I131,"")</f>
        <v>1.12687696504956</v>
      </c>
      <c r="O131" s="32">
        <f>IF(D131="a",K131/25000,IF(D131="b",K131/15000,IF(D131="c",K131/5000)))/H131</f>
        <v>0.46960000000000002</v>
      </c>
    </row>
    <row r="132" spans="1:15" x14ac:dyDescent="0.3">
      <c r="B132" s="26" t="s">
        <v>444</v>
      </c>
      <c r="C132" s="27" t="s">
        <v>31</v>
      </c>
      <c r="D132" s="27" t="s">
        <v>21</v>
      </c>
      <c r="E132" s="28">
        <v>45952</v>
      </c>
      <c r="F132" s="29">
        <v>10</v>
      </c>
      <c r="H132" s="30">
        <v>1</v>
      </c>
      <c r="I132" s="34">
        <v>294810.43999999994</v>
      </c>
      <c r="J132" s="34">
        <v>1184</v>
      </c>
      <c r="K132" s="34">
        <v>1183</v>
      </c>
      <c r="L132" s="31">
        <v>333135.74000000005</v>
      </c>
      <c r="M132" s="31">
        <v>3000000</v>
      </c>
      <c r="N132" s="32">
        <f>IFERROR(L132/I132,"")</f>
        <v>1.1299998059770207</v>
      </c>
      <c r="O132" s="32">
        <f>IF(D132="a",K132/25000,IF(D132="b",K132/15000,IF(D132="c",K132/5000)))/H132</f>
        <v>0.2366</v>
      </c>
    </row>
    <row r="133" spans="1:15" x14ac:dyDescent="0.3">
      <c r="A133" s="1" t="s">
        <v>291</v>
      </c>
      <c r="B133" s="26" t="s">
        <v>292</v>
      </c>
      <c r="C133" s="27" t="s">
        <v>20</v>
      </c>
      <c r="D133" s="27" t="s">
        <v>21</v>
      </c>
      <c r="E133" s="28">
        <v>45791</v>
      </c>
      <c r="F133" s="29">
        <v>5</v>
      </c>
      <c r="H133" s="30">
        <v>1</v>
      </c>
      <c r="I133" s="31">
        <v>1033801.3200000001</v>
      </c>
      <c r="J133" s="31">
        <v>2879</v>
      </c>
      <c r="K133" s="31">
        <v>2879</v>
      </c>
      <c r="L133" s="31">
        <v>1166654.6500000001</v>
      </c>
      <c r="M133" s="31">
        <v>3000000</v>
      </c>
      <c r="N133" s="32">
        <f>IFERROR(L133/I133,"")</f>
        <v>1.1285095379835655</v>
      </c>
      <c r="O133" s="32">
        <f>IF(D133="a",K133/25000,IF(D133="b",K133/15000,IF(D133="c",K133/5000)))/H133</f>
        <v>0.57579999999999998</v>
      </c>
    </row>
    <row r="134" spans="1:15" x14ac:dyDescent="0.3">
      <c r="A134" s="1" t="s">
        <v>166</v>
      </c>
      <c r="B134" s="26" t="s">
        <v>167</v>
      </c>
      <c r="C134" s="27" t="s">
        <v>27</v>
      </c>
      <c r="D134" s="27" t="s">
        <v>21</v>
      </c>
      <c r="E134" s="28">
        <v>45747</v>
      </c>
      <c r="F134" s="29">
        <v>3</v>
      </c>
      <c r="H134" s="30">
        <v>1</v>
      </c>
      <c r="I134" s="31">
        <v>134999.99999999997</v>
      </c>
      <c r="J134" s="31">
        <v>408</v>
      </c>
      <c r="K134" s="31">
        <v>407</v>
      </c>
      <c r="L134" s="31">
        <v>123340.65000000001</v>
      </c>
      <c r="M134" s="31">
        <v>3000000</v>
      </c>
      <c r="N134" s="32">
        <f>IFERROR(L134/I134,"")</f>
        <v>0.91363444444444475</v>
      </c>
      <c r="O134" s="32">
        <f>IF(D134="a",K134/25000,IF(D134="b",K134/15000,IF(D134="c",K134/5000)))/H134</f>
        <v>8.14E-2</v>
      </c>
    </row>
    <row r="135" spans="1:15" x14ac:dyDescent="0.3">
      <c r="A135" s="1" t="s">
        <v>219</v>
      </c>
      <c r="B135" s="26" t="s">
        <v>220</v>
      </c>
      <c r="C135" s="27" t="s">
        <v>24</v>
      </c>
      <c r="D135" s="27" t="s">
        <v>21</v>
      </c>
      <c r="E135" s="28">
        <v>45771</v>
      </c>
      <c r="F135" s="29">
        <v>4</v>
      </c>
      <c r="H135" s="30">
        <v>1</v>
      </c>
      <c r="I135" s="31">
        <v>1186833.1799999995</v>
      </c>
      <c r="J135" s="31">
        <v>3827</v>
      </c>
      <c r="K135" s="31">
        <v>3827</v>
      </c>
      <c r="L135" s="31">
        <v>1380981.62</v>
      </c>
      <c r="M135" s="31">
        <v>3000000</v>
      </c>
      <c r="N135" s="32">
        <f>IFERROR(L135/I135,"")</f>
        <v>1.1635852816315775</v>
      </c>
      <c r="O135" s="32">
        <f>IF(D135="a",K135/25000,IF(D135="b",K135/15000,IF(D135="c",K135/5000)))/H135</f>
        <v>0.76539999999999997</v>
      </c>
    </row>
    <row r="136" spans="1:15" x14ac:dyDescent="0.3">
      <c r="A136" s="1" t="s">
        <v>48</v>
      </c>
      <c r="B136" s="26" t="s">
        <v>49</v>
      </c>
      <c r="C136" s="27" t="s">
        <v>31</v>
      </c>
      <c r="D136" s="27" t="s">
        <v>21</v>
      </c>
      <c r="E136" s="28">
        <v>45708</v>
      </c>
      <c r="F136" s="29">
        <v>2</v>
      </c>
      <c r="G136" s="28">
        <v>46446</v>
      </c>
      <c r="H136" s="30">
        <v>2</v>
      </c>
      <c r="I136" s="31">
        <v>2553268.0200000214</v>
      </c>
      <c r="J136" s="31">
        <v>7434</v>
      </c>
      <c r="K136" s="31">
        <v>7434</v>
      </c>
      <c r="L136" s="31">
        <v>2862686.5000000005</v>
      </c>
      <c r="M136" s="31">
        <v>4000000</v>
      </c>
      <c r="N136" s="32">
        <f>IFERROR(L136/I136,"")</f>
        <v>1.1211852721987159</v>
      </c>
      <c r="O136" s="32">
        <f>IF(D136="a",K136/25000,IF(D136="b",K136/15000,IF(D136="c",K136/5000)))/H136</f>
        <v>0.74339999999999995</v>
      </c>
    </row>
    <row r="137" spans="1:15" x14ac:dyDescent="0.3">
      <c r="B137" s="26" t="s">
        <v>432</v>
      </c>
      <c r="C137" s="27" t="s">
        <v>56</v>
      </c>
      <c r="D137" s="27" t="s">
        <v>21</v>
      </c>
      <c r="E137" s="28">
        <v>45919</v>
      </c>
      <c r="F137" s="29">
        <v>9</v>
      </c>
      <c r="H137" s="30">
        <v>1</v>
      </c>
      <c r="I137" s="34">
        <v>725288.3199999996</v>
      </c>
      <c r="J137" s="34">
        <v>2224</v>
      </c>
      <c r="K137" s="34">
        <v>2224</v>
      </c>
      <c r="L137" s="31">
        <v>819885.8</v>
      </c>
      <c r="M137" s="31">
        <v>3000000</v>
      </c>
      <c r="N137" s="32">
        <f>IFERROR(L137/I137,"")</f>
        <v>1.1304274140248123</v>
      </c>
      <c r="O137" s="32">
        <f>IF(D137="a",K137/25000,IF(D137="b",K137/15000,IF(D137="c",K137/5000)))/H137</f>
        <v>0.44479999999999997</v>
      </c>
    </row>
    <row r="138" spans="1:15" x14ac:dyDescent="0.3">
      <c r="A138" s="1" t="s">
        <v>347</v>
      </c>
      <c r="B138" s="26" t="s">
        <v>348</v>
      </c>
      <c r="C138" s="27" t="s">
        <v>198</v>
      </c>
      <c r="D138" s="27" t="s">
        <v>21</v>
      </c>
      <c r="E138" s="28">
        <v>45838</v>
      </c>
      <c r="F138" s="29">
        <v>6</v>
      </c>
      <c r="H138" s="30">
        <v>1</v>
      </c>
      <c r="I138" s="31">
        <v>960575.27999999828</v>
      </c>
      <c r="J138" s="31">
        <v>3043</v>
      </c>
      <c r="K138" s="31">
        <v>3043</v>
      </c>
      <c r="L138" s="31">
        <v>1117588.22</v>
      </c>
      <c r="M138" s="31">
        <v>2850000</v>
      </c>
      <c r="N138" s="32">
        <f>IFERROR(L138/I138,"")</f>
        <v>1.1634571941097651</v>
      </c>
      <c r="O138" s="32">
        <f>IF(D138="a",K138/25000,IF(D138="b",K138/15000,IF(D138="c",K138/5000)))/H138</f>
        <v>0.60860000000000003</v>
      </c>
    </row>
    <row r="139" spans="1:15" x14ac:dyDescent="0.3">
      <c r="A139" s="1" t="s">
        <v>225</v>
      </c>
      <c r="B139" s="26" t="s">
        <v>226</v>
      </c>
      <c r="C139" s="27" t="s">
        <v>24</v>
      </c>
      <c r="D139" s="27" t="s">
        <v>21</v>
      </c>
      <c r="E139" s="28">
        <v>45772</v>
      </c>
      <c r="F139" s="29">
        <v>4</v>
      </c>
      <c r="H139" s="30">
        <v>1</v>
      </c>
      <c r="I139" s="31">
        <v>1232803.6800000006</v>
      </c>
      <c r="J139" s="31">
        <v>3594</v>
      </c>
      <c r="K139" s="31">
        <v>3289</v>
      </c>
      <c r="L139" s="31">
        <v>1393067.3800000001</v>
      </c>
      <c r="M139" s="31">
        <v>3000000</v>
      </c>
      <c r="N139" s="32">
        <f>IFERROR(L139/I139,"")</f>
        <v>1.1299993685937078</v>
      </c>
      <c r="O139" s="32">
        <f>IF(D139="a",K139/25000,IF(D139="b",K139/15000,IF(D139="c",K139/5000)))/H139</f>
        <v>0.65780000000000005</v>
      </c>
    </row>
    <row r="140" spans="1:15" x14ac:dyDescent="0.3">
      <c r="B140" s="26" t="s">
        <v>436</v>
      </c>
      <c r="C140" s="27" t="s">
        <v>20</v>
      </c>
      <c r="D140" s="27" t="s">
        <v>28</v>
      </c>
      <c r="E140" s="28">
        <v>45904</v>
      </c>
      <c r="F140" s="29">
        <v>9</v>
      </c>
      <c r="H140" s="30">
        <v>1</v>
      </c>
      <c r="I140" s="34">
        <v>2052076.5999999975</v>
      </c>
      <c r="J140" s="34">
        <v>6358</v>
      </c>
      <c r="K140" s="34">
        <v>5519</v>
      </c>
      <c r="L140" s="31">
        <v>2303955.9400000004</v>
      </c>
      <c r="M140" s="31">
        <v>9250000</v>
      </c>
      <c r="N140" s="32">
        <f>IFERROR(L140/I140,"")</f>
        <v>1.1227436344237847</v>
      </c>
      <c r="O140" s="32">
        <f>IF(D140="a",K140/25000,IF(D140="b",K140/15000,IF(D140="c",K140/5000)))/H140</f>
        <v>0.22076000000000001</v>
      </c>
    </row>
    <row r="141" spans="1:15" x14ac:dyDescent="0.3">
      <c r="A141" s="1" t="s">
        <v>199</v>
      </c>
      <c r="B141" s="26" t="s">
        <v>200</v>
      </c>
      <c r="C141" s="27" t="s">
        <v>20</v>
      </c>
      <c r="D141" s="27" t="s">
        <v>28</v>
      </c>
      <c r="E141" s="28">
        <v>45754</v>
      </c>
      <c r="F141" s="29">
        <v>4</v>
      </c>
      <c r="H141" s="30">
        <v>1</v>
      </c>
      <c r="I141" s="31">
        <v>7671760.6999999965</v>
      </c>
      <c r="J141" s="31">
        <v>30671</v>
      </c>
      <c r="K141" s="31">
        <v>27628</v>
      </c>
      <c r="L141" s="31">
        <v>8882654.5199999996</v>
      </c>
      <c r="M141" s="31">
        <v>11000000</v>
      </c>
      <c r="N141" s="32">
        <f>IFERROR(L141/I141,"")</f>
        <v>1.1578377985642858</v>
      </c>
      <c r="O141" s="32">
        <f>IF(D141="a",K141/25000,IF(D141="b",K141/15000,IF(D141="c",K141/5000)))/H141</f>
        <v>1.1051200000000001</v>
      </c>
    </row>
    <row r="142" spans="1:15" x14ac:dyDescent="0.3">
      <c r="A142" s="1" t="s">
        <v>76</v>
      </c>
      <c r="B142" s="26" t="s">
        <v>77</v>
      </c>
      <c r="C142" s="27" t="s">
        <v>20</v>
      </c>
      <c r="D142" s="27" t="s">
        <v>35</v>
      </c>
      <c r="E142" s="28">
        <v>45735</v>
      </c>
      <c r="F142" s="29">
        <v>3</v>
      </c>
      <c r="H142" s="30">
        <v>1</v>
      </c>
      <c r="I142" s="31">
        <v>5752217.1099999743</v>
      </c>
      <c r="J142" s="31">
        <v>17709</v>
      </c>
      <c r="K142" s="31">
        <v>15171</v>
      </c>
      <c r="L142" s="31">
        <v>6500000</v>
      </c>
      <c r="M142" s="31">
        <v>6500000</v>
      </c>
      <c r="N142" s="32">
        <f>IFERROR(L142/I142,"")</f>
        <v>1.1299990726532276</v>
      </c>
      <c r="O142" s="32">
        <f>IF(D142="a",K142/25000,IF(D142="b",K142/15000,IF(D142="c",K142/5000)))/H142</f>
        <v>1.0114000000000001</v>
      </c>
    </row>
    <row r="143" spans="1:15" x14ac:dyDescent="0.3">
      <c r="A143" s="1" t="s">
        <v>421</v>
      </c>
      <c r="B143" s="26" t="s">
        <v>422</v>
      </c>
      <c r="C143" s="27" t="s">
        <v>20</v>
      </c>
      <c r="D143" s="27" t="s">
        <v>28</v>
      </c>
      <c r="E143" s="28">
        <v>45888</v>
      </c>
      <c r="F143" s="29">
        <v>8</v>
      </c>
      <c r="H143" s="30">
        <v>1</v>
      </c>
      <c r="I143" s="31">
        <v>5798921.7800000012</v>
      </c>
      <c r="J143" s="31">
        <v>18807</v>
      </c>
      <c r="K143" s="31">
        <v>18807</v>
      </c>
      <c r="L143" s="31">
        <v>8000000</v>
      </c>
      <c r="M143" s="31">
        <v>9000000</v>
      </c>
      <c r="N143" s="32">
        <f>IFERROR(L143/I143,"")</f>
        <v>1.3795668062968764</v>
      </c>
      <c r="O143" s="32">
        <f>IF(D143="a",K143/25000,IF(D143="b",K143/15000,IF(D143="c",K143/5000)))/H143</f>
        <v>0.75227999999999995</v>
      </c>
    </row>
    <row r="144" spans="1:15" x14ac:dyDescent="0.3">
      <c r="A144" s="1" t="s">
        <v>349</v>
      </c>
      <c r="B144" s="26" t="s">
        <v>350</v>
      </c>
      <c r="C144" s="27" t="s">
        <v>20</v>
      </c>
      <c r="D144" s="27" t="s">
        <v>21</v>
      </c>
      <c r="E144" s="28">
        <v>45825</v>
      </c>
      <c r="F144" s="29">
        <v>6</v>
      </c>
      <c r="H144" s="30">
        <v>1</v>
      </c>
      <c r="I144" s="31">
        <v>963991.13999999233</v>
      </c>
      <c r="J144" s="31">
        <v>2713</v>
      </c>
      <c r="K144" s="31">
        <v>2713</v>
      </c>
      <c r="L144" s="31">
        <v>1089309.76</v>
      </c>
      <c r="M144" s="31">
        <v>3000000</v>
      </c>
      <c r="N144" s="32">
        <f>IFERROR(L144/I144,"")</f>
        <v>1.1299997632758416</v>
      </c>
      <c r="O144" s="32">
        <f>IF(D144="a",K144/25000,IF(D144="b",K144/15000,IF(D144="c",K144/5000)))/H144</f>
        <v>0.54259999999999997</v>
      </c>
    </row>
    <row r="145" spans="1:15" x14ac:dyDescent="0.3">
      <c r="A145" s="1" t="s">
        <v>78</v>
      </c>
      <c r="B145" s="26" t="s">
        <v>79</v>
      </c>
      <c r="C145" s="27" t="s">
        <v>20</v>
      </c>
      <c r="D145" s="27" t="s">
        <v>28</v>
      </c>
      <c r="E145" s="28">
        <v>45730</v>
      </c>
      <c r="F145" s="29">
        <v>3</v>
      </c>
      <c r="H145" s="30">
        <v>1</v>
      </c>
      <c r="I145" s="31">
        <v>7880824.9299999839</v>
      </c>
      <c r="J145" s="31">
        <v>29565</v>
      </c>
      <c r="K145" s="31">
        <v>25157</v>
      </c>
      <c r="L145" s="31">
        <v>10168014.109999999</v>
      </c>
      <c r="M145" s="31">
        <v>15000000</v>
      </c>
      <c r="N145" s="32">
        <f>IFERROR(L145/I145,"")</f>
        <v>1.2902220516653478</v>
      </c>
      <c r="O145" s="32">
        <f>IF(D145="a",K145/25000,IF(D145="b",K145/15000,IF(D145="c",K145/5000)))/H145</f>
        <v>1.0062800000000001</v>
      </c>
    </row>
    <row r="146" spans="1:15" x14ac:dyDescent="0.3">
      <c r="A146" s="1" t="s">
        <v>217</v>
      </c>
      <c r="B146" s="26" t="s">
        <v>218</v>
      </c>
      <c r="C146" s="27" t="s">
        <v>20</v>
      </c>
      <c r="D146" s="27" t="s">
        <v>28</v>
      </c>
      <c r="E146" s="28">
        <v>45757</v>
      </c>
      <c r="F146" s="29">
        <v>4</v>
      </c>
      <c r="H146" s="30">
        <v>1</v>
      </c>
      <c r="I146" s="31">
        <v>6920006.9599999329</v>
      </c>
      <c r="J146" s="31">
        <v>21955</v>
      </c>
      <c r="K146" s="31">
        <v>20912</v>
      </c>
      <c r="L146" s="31">
        <v>10000000</v>
      </c>
      <c r="M146" s="31">
        <v>10000000</v>
      </c>
      <c r="N146" s="32">
        <f>IFERROR(L146/I146,"")</f>
        <v>1.4450852517639805</v>
      </c>
      <c r="O146" s="32">
        <f>IF(D146="a",K146/25000,IF(D146="b",K146/15000,IF(D146="c",K146/5000)))/H146</f>
        <v>0.83648</v>
      </c>
    </row>
    <row r="147" spans="1:15" x14ac:dyDescent="0.3">
      <c r="A147" s="1" t="s">
        <v>239</v>
      </c>
      <c r="B147" s="26" t="s">
        <v>240</v>
      </c>
      <c r="C147" s="27" t="s">
        <v>20</v>
      </c>
      <c r="D147" s="27" t="s">
        <v>21</v>
      </c>
      <c r="E147" s="28">
        <v>45776</v>
      </c>
      <c r="F147" s="29">
        <v>4</v>
      </c>
      <c r="H147" s="30">
        <v>1</v>
      </c>
      <c r="I147" s="31">
        <v>733610.96000000159</v>
      </c>
      <c r="J147" s="31">
        <v>1819</v>
      </c>
      <c r="K147" s="31">
        <v>1793</v>
      </c>
      <c r="L147" s="31">
        <v>765289.43</v>
      </c>
      <c r="M147" s="31">
        <v>3000000</v>
      </c>
      <c r="N147" s="32">
        <f>IFERROR(L147/I147,"")</f>
        <v>1.0431815658806385</v>
      </c>
      <c r="O147" s="32">
        <f>IF(D147="a",K147/25000,IF(D147="b",K147/15000,IF(D147="c",K147/5000)))/H147</f>
        <v>0.35859999999999997</v>
      </c>
    </row>
    <row r="148" spans="1:15" x14ac:dyDescent="0.3">
      <c r="A148" s="1" t="s">
        <v>251</v>
      </c>
      <c r="B148" s="26" t="s">
        <v>252</v>
      </c>
      <c r="C148" s="27" t="s">
        <v>20</v>
      </c>
      <c r="D148" s="27" t="s">
        <v>21</v>
      </c>
      <c r="E148" s="28">
        <v>45758</v>
      </c>
      <c r="F148" s="29">
        <v>4</v>
      </c>
      <c r="H148" s="30">
        <v>1</v>
      </c>
      <c r="I148" s="31">
        <v>154515.57999999996</v>
      </c>
      <c r="J148" s="31">
        <v>436</v>
      </c>
      <c r="K148" s="31">
        <v>434</v>
      </c>
      <c r="L148" s="31">
        <v>169198.12</v>
      </c>
      <c r="M148" s="31">
        <v>2950000</v>
      </c>
      <c r="N148" s="32">
        <f>IFERROR(L148/I148,"")</f>
        <v>1.0950230391006528</v>
      </c>
      <c r="O148" s="32">
        <f>IF(D148="a",K148/25000,IF(D148="b",K148/15000,IF(D148="c",K148/5000)))/H148</f>
        <v>8.6800000000000002E-2</v>
      </c>
    </row>
    <row r="149" spans="1:15" x14ac:dyDescent="0.3">
      <c r="A149" s="1" t="s">
        <v>343</v>
      </c>
      <c r="B149" s="26" t="s">
        <v>344</v>
      </c>
      <c r="C149" s="27" t="s">
        <v>20</v>
      </c>
      <c r="D149" s="27" t="s">
        <v>21</v>
      </c>
      <c r="E149" s="28">
        <v>45825</v>
      </c>
      <c r="F149" s="29">
        <v>6</v>
      </c>
      <c r="H149" s="30">
        <v>1</v>
      </c>
      <c r="I149" s="31">
        <v>1094736.5899999989</v>
      </c>
      <c r="J149" s="31">
        <v>3482</v>
      </c>
      <c r="K149" s="31">
        <v>3474</v>
      </c>
      <c r="L149" s="31">
        <v>1248375.0199999998</v>
      </c>
      <c r="M149" s="31">
        <v>3700000</v>
      </c>
      <c r="N149" s="32">
        <f>IFERROR(L149/I149,"")</f>
        <v>1.1403428289539506</v>
      </c>
      <c r="O149" s="32">
        <f>IF(D149="a",K149/25000,IF(D149="b",K149/15000,IF(D149="c",K149/5000)))/H149</f>
        <v>0.69479999999999997</v>
      </c>
    </row>
    <row r="150" spans="1:15" x14ac:dyDescent="0.3">
      <c r="B150" s="26" t="s">
        <v>448</v>
      </c>
      <c r="C150" s="27" t="s">
        <v>20</v>
      </c>
      <c r="D150" s="27" t="s">
        <v>28</v>
      </c>
      <c r="E150" s="28">
        <v>46010</v>
      </c>
      <c r="F150" s="29">
        <v>12</v>
      </c>
      <c r="H150" s="30">
        <v>1</v>
      </c>
      <c r="I150" s="34">
        <v>0</v>
      </c>
      <c r="J150" s="34">
        <v>5988</v>
      </c>
      <c r="K150" s="34">
        <v>5988</v>
      </c>
      <c r="L150" s="31">
        <v>600000</v>
      </c>
      <c r="M150" s="31">
        <v>9000000</v>
      </c>
      <c r="N150" s="32" t="str">
        <f>IFERROR(L150/I150,"")</f>
        <v/>
      </c>
      <c r="O150" s="32">
        <f>IF(D150="a",K150/25000,IF(D150="b",K150/15000,IF(D150="c",K150/5000)))/H150</f>
        <v>0.23952000000000001</v>
      </c>
    </row>
    <row r="151" spans="1:15" x14ac:dyDescent="0.3">
      <c r="A151" s="1" t="s">
        <v>353</v>
      </c>
      <c r="B151" s="26" t="s">
        <v>354</v>
      </c>
      <c r="C151" s="27" t="s">
        <v>20</v>
      </c>
      <c r="D151" s="27" t="s">
        <v>21</v>
      </c>
      <c r="E151" s="28">
        <v>45832</v>
      </c>
      <c r="F151" s="29">
        <v>6</v>
      </c>
      <c r="H151" s="30">
        <v>1</v>
      </c>
      <c r="I151" s="31">
        <v>748452.60000000102</v>
      </c>
      <c r="J151" s="31">
        <v>2558</v>
      </c>
      <c r="K151" s="31">
        <v>2504</v>
      </c>
      <c r="L151" s="31">
        <v>845751.28</v>
      </c>
      <c r="M151" s="31">
        <v>3000000</v>
      </c>
      <c r="N151" s="32">
        <f>IFERROR(L151/I151,"")</f>
        <v>1.1299997888977857</v>
      </c>
      <c r="O151" s="32">
        <f>IF(D151="a",K151/25000,IF(D151="b",K151/15000,IF(D151="c",K151/5000)))/H151</f>
        <v>0.50080000000000002</v>
      </c>
    </row>
    <row r="152" spans="1:15" x14ac:dyDescent="0.3">
      <c r="A152" s="1" t="s">
        <v>192</v>
      </c>
      <c r="B152" s="26" t="s">
        <v>193</v>
      </c>
      <c r="C152" s="27" t="s">
        <v>20</v>
      </c>
      <c r="D152" s="27" t="s">
        <v>21</v>
      </c>
      <c r="E152" s="28">
        <v>45772</v>
      </c>
      <c r="F152" s="29">
        <v>4</v>
      </c>
      <c r="H152" s="30">
        <v>1</v>
      </c>
      <c r="I152" s="31">
        <v>2042761.0900000043</v>
      </c>
      <c r="J152" s="31">
        <v>6211</v>
      </c>
      <c r="K152" s="31">
        <v>6175</v>
      </c>
      <c r="L152" s="31">
        <v>2293131.6799999997</v>
      </c>
      <c r="M152" s="31">
        <v>3100000</v>
      </c>
      <c r="N152" s="32">
        <f>IFERROR(L152/I152,"")</f>
        <v>1.1225647929293556</v>
      </c>
      <c r="O152" s="32">
        <f>IF(D152="a",K152/25000,IF(D152="b",K152/15000,IF(D152="c",K152/5000)))/H152</f>
        <v>1.2350000000000001</v>
      </c>
    </row>
    <row r="153" spans="1:15" x14ac:dyDescent="0.3">
      <c r="A153" s="1" t="s">
        <v>190</v>
      </c>
      <c r="B153" s="26" t="s">
        <v>191</v>
      </c>
      <c r="C153" s="27" t="s">
        <v>20</v>
      </c>
      <c r="D153" s="27" t="s">
        <v>21</v>
      </c>
      <c r="E153" s="28">
        <v>45756</v>
      </c>
      <c r="F153" s="29">
        <v>4</v>
      </c>
      <c r="H153" s="30">
        <v>1</v>
      </c>
      <c r="I153" s="31">
        <v>2148613.1399999964</v>
      </c>
      <c r="J153" s="31">
        <v>6828</v>
      </c>
      <c r="K153" s="31">
        <v>6470</v>
      </c>
      <c r="L153" s="31">
        <v>2505398.6399999997</v>
      </c>
      <c r="M153" s="31">
        <v>3450000</v>
      </c>
      <c r="N153" s="32">
        <f>IFERROR(L153/I153,"")</f>
        <v>1.1660538574198629</v>
      </c>
      <c r="O153" s="32">
        <f>IF(D153="a",K153/25000,IF(D153="b",K153/15000,IF(D153="c",K153/5000)))/H153</f>
        <v>1.294</v>
      </c>
    </row>
    <row r="154" spans="1:15" x14ac:dyDescent="0.3">
      <c r="A154" s="1" t="s">
        <v>46</v>
      </c>
      <c r="B154" s="26" t="s">
        <v>47</v>
      </c>
      <c r="C154" s="27" t="s">
        <v>31</v>
      </c>
      <c r="D154" s="27" t="s">
        <v>28</v>
      </c>
      <c r="E154" s="28">
        <v>45712</v>
      </c>
      <c r="F154" s="29">
        <v>2</v>
      </c>
      <c r="G154" s="28">
        <v>46443</v>
      </c>
      <c r="H154" s="30">
        <v>3</v>
      </c>
      <c r="I154" s="31">
        <v>16826350.600000009</v>
      </c>
      <c r="J154" s="31">
        <v>65635</v>
      </c>
      <c r="K154" s="31">
        <v>56792</v>
      </c>
      <c r="L154" s="31">
        <v>19037144.460000001</v>
      </c>
      <c r="M154" s="31">
        <v>25520000</v>
      </c>
      <c r="N154" s="32">
        <f>IFERROR(L154/I154,"")</f>
        <v>1.131388790864728</v>
      </c>
      <c r="O154" s="32">
        <f>IF(D154="a",K154/25000,IF(D154="b",K154/15000,IF(D154="c",K154/5000)))/H154</f>
        <v>0.7572266666666666</v>
      </c>
    </row>
    <row r="155" spans="1:15" x14ac:dyDescent="0.3">
      <c r="A155" s="1" t="s">
        <v>59</v>
      </c>
      <c r="B155" s="26" t="s">
        <v>60</v>
      </c>
      <c r="C155" s="27" t="s">
        <v>31</v>
      </c>
      <c r="D155" s="27" t="s">
        <v>21</v>
      </c>
      <c r="E155" s="28">
        <v>45741</v>
      </c>
      <c r="F155" s="29">
        <v>3</v>
      </c>
      <c r="H155" s="30">
        <v>1</v>
      </c>
      <c r="I155" s="31">
        <v>3140727.8900000025</v>
      </c>
      <c r="J155" s="31">
        <v>10249</v>
      </c>
      <c r="K155" s="31">
        <v>10022</v>
      </c>
      <c r="L155" s="31">
        <v>3548191.7300000004</v>
      </c>
      <c r="M155" s="31">
        <v>4150000</v>
      </c>
      <c r="N155" s="32">
        <f>IFERROR(L155/I155,"")</f>
        <v>1.1297354798858419</v>
      </c>
      <c r="O155" s="32">
        <f>IF(D155="a",K155/25000,IF(D155="b",K155/15000,IF(D155="c",K155/5000)))/H155</f>
        <v>2.0044</v>
      </c>
    </row>
    <row r="156" spans="1:15" x14ac:dyDescent="0.3">
      <c r="A156" s="1" t="s">
        <v>355</v>
      </c>
      <c r="B156" s="26" t="s">
        <v>356</v>
      </c>
      <c r="C156" s="27" t="s">
        <v>24</v>
      </c>
      <c r="D156" s="27" t="s">
        <v>21</v>
      </c>
      <c r="E156" s="28">
        <v>45817</v>
      </c>
      <c r="F156" s="29">
        <v>6</v>
      </c>
      <c r="H156" s="30">
        <v>1</v>
      </c>
      <c r="I156" s="31">
        <v>766173.2900000005</v>
      </c>
      <c r="J156" s="31">
        <v>2282</v>
      </c>
      <c r="K156" s="31">
        <v>2282</v>
      </c>
      <c r="L156" s="31">
        <v>845961.52999999991</v>
      </c>
      <c r="M156" s="31">
        <v>3000000</v>
      </c>
      <c r="N156" s="32">
        <f>IFERROR(L156/I156,"")</f>
        <v>1.1041386342246404</v>
      </c>
      <c r="O156" s="32">
        <f>IF(D156="a",K156/25000,IF(D156="b",K156/15000,IF(D156="c",K156/5000)))/H156</f>
        <v>0.45639999999999997</v>
      </c>
    </row>
    <row r="157" spans="1:15" x14ac:dyDescent="0.3">
      <c r="A157" s="1" t="s">
        <v>121</v>
      </c>
      <c r="B157" s="26" t="s">
        <v>122</v>
      </c>
      <c r="C157" s="27" t="s">
        <v>24</v>
      </c>
      <c r="D157" s="27" t="s">
        <v>28</v>
      </c>
      <c r="E157" s="28">
        <v>45723</v>
      </c>
      <c r="F157" s="29">
        <v>3</v>
      </c>
      <c r="G157" s="28">
        <v>46386</v>
      </c>
      <c r="H157" s="30">
        <v>2</v>
      </c>
      <c r="I157" s="31">
        <v>12606071.220000107</v>
      </c>
      <c r="J157" s="31">
        <v>39325</v>
      </c>
      <c r="K157" s="31">
        <v>33647</v>
      </c>
      <c r="L157" s="31">
        <v>14244909.230000002</v>
      </c>
      <c r="M157" s="31">
        <v>18250000</v>
      </c>
      <c r="N157" s="32">
        <f>IFERROR(L157/I157,"")</f>
        <v>1.1300038672952921</v>
      </c>
      <c r="O157" s="32">
        <f>IF(D157="a",K157/25000,IF(D157="b",K157/15000,IF(D157="c",K157/5000)))/H157</f>
        <v>0.67293999999999998</v>
      </c>
    </row>
    <row r="158" spans="1:15" x14ac:dyDescent="0.3">
      <c r="A158" s="1" t="s">
        <v>357</v>
      </c>
      <c r="B158" s="26" t="s">
        <v>358</v>
      </c>
      <c r="C158" s="27" t="s">
        <v>24</v>
      </c>
      <c r="D158" s="27" t="s">
        <v>21</v>
      </c>
      <c r="E158" s="28">
        <v>45811</v>
      </c>
      <c r="F158" s="29">
        <v>6</v>
      </c>
      <c r="H158" s="30">
        <v>1</v>
      </c>
      <c r="I158" s="31">
        <v>750573.88000000105</v>
      </c>
      <c r="J158" s="31">
        <v>1956</v>
      </c>
      <c r="K158" s="31">
        <v>1956</v>
      </c>
      <c r="L158" s="31">
        <v>848147.97999999986</v>
      </c>
      <c r="M158" s="31">
        <v>3000000</v>
      </c>
      <c r="N158" s="32">
        <f>IFERROR(L158/I158,"")</f>
        <v>1.129999327980876</v>
      </c>
      <c r="O158" s="32">
        <f>IF(D158="a",K158/25000,IF(D158="b",K158/15000,IF(D158="c",K158/5000)))/H158</f>
        <v>0.39119999999999999</v>
      </c>
    </row>
    <row r="159" spans="1:15" x14ac:dyDescent="0.3">
      <c r="A159" s="1" t="s">
        <v>401</v>
      </c>
      <c r="B159" s="26" t="s">
        <v>402</v>
      </c>
      <c r="C159" s="27" t="s">
        <v>24</v>
      </c>
      <c r="D159" s="27" t="s">
        <v>21</v>
      </c>
      <c r="E159" s="28">
        <v>45845</v>
      </c>
      <c r="F159" s="29">
        <v>7</v>
      </c>
      <c r="H159" s="30">
        <v>1</v>
      </c>
      <c r="I159" s="31">
        <v>742565.19999999972</v>
      </c>
      <c r="J159" s="31">
        <v>2098</v>
      </c>
      <c r="K159" s="31">
        <v>2098</v>
      </c>
      <c r="L159" s="31">
        <v>839996.46</v>
      </c>
      <c r="M159" s="31">
        <v>2000000</v>
      </c>
      <c r="N159" s="32">
        <f>IFERROR(L159/I159,"")</f>
        <v>1.1312090305336155</v>
      </c>
      <c r="O159" s="32">
        <f>IF(D159="a",K159/25000,IF(D159="b",K159/15000,IF(D159="c",K159/5000)))/H159</f>
        <v>0.41959999999999997</v>
      </c>
    </row>
    <row r="160" spans="1:15" x14ac:dyDescent="0.3">
      <c r="A160" s="1" t="s">
        <v>359</v>
      </c>
      <c r="B160" s="26" t="s">
        <v>360</v>
      </c>
      <c r="C160" s="27" t="s">
        <v>24</v>
      </c>
      <c r="D160" s="27" t="s">
        <v>21</v>
      </c>
      <c r="E160" s="28">
        <v>45818</v>
      </c>
      <c r="F160" s="29">
        <v>6</v>
      </c>
      <c r="H160" s="30">
        <v>1</v>
      </c>
      <c r="I160" s="31">
        <v>684552.67999999924</v>
      </c>
      <c r="J160" s="31">
        <v>1851</v>
      </c>
      <c r="K160" s="31">
        <v>1810</v>
      </c>
      <c r="L160" s="31">
        <v>773542.67</v>
      </c>
      <c r="M160" s="31">
        <v>3000000</v>
      </c>
      <c r="N160" s="32">
        <f>IFERROR(L160/I160,"")</f>
        <v>1.1299972852344993</v>
      </c>
      <c r="O160" s="32">
        <f>IF(D160="a",K160/25000,IF(D160="b",K160/15000,IF(D160="c",K160/5000)))/H160</f>
        <v>0.36199999999999999</v>
      </c>
    </row>
    <row r="161" spans="1:15" x14ac:dyDescent="0.3">
      <c r="A161" s="1" t="s">
        <v>289</v>
      </c>
      <c r="B161" s="26" t="s">
        <v>290</v>
      </c>
      <c r="C161" s="27" t="s">
        <v>92</v>
      </c>
      <c r="D161" s="27" t="s">
        <v>28</v>
      </c>
      <c r="E161" s="28">
        <v>45803</v>
      </c>
      <c r="F161" s="29">
        <v>5</v>
      </c>
      <c r="H161" s="30">
        <v>1</v>
      </c>
      <c r="I161" s="31">
        <v>4605890.9599999944</v>
      </c>
      <c r="J161" s="31">
        <v>16472</v>
      </c>
      <c r="K161" s="31">
        <v>14812</v>
      </c>
      <c r="L161" s="31">
        <v>5204655.6899999995</v>
      </c>
      <c r="M161" s="31">
        <v>9000000</v>
      </c>
      <c r="N161" s="32">
        <f>IFERROR(L161/I161,"")</f>
        <v>1.1299997623044047</v>
      </c>
      <c r="O161" s="32">
        <f>IF(D161="a",K161/25000,IF(D161="b",K161/15000,IF(D161="c",K161/5000)))/H161</f>
        <v>0.59248000000000001</v>
      </c>
    </row>
    <row r="162" spans="1:15" x14ac:dyDescent="0.3">
      <c r="A162" s="1" t="s">
        <v>155</v>
      </c>
      <c r="B162" s="26" t="s">
        <v>156</v>
      </c>
      <c r="C162" s="27" t="s">
        <v>92</v>
      </c>
      <c r="D162" s="27" t="s">
        <v>21</v>
      </c>
      <c r="E162" s="28">
        <v>45726</v>
      </c>
      <c r="F162" s="29">
        <v>3</v>
      </c>
      <c r="H162" s="30">
        <v>1</v>
      </c>
      <c r="I162" s="31">
        <v>563304.35000000021</v>
      </c>
      <c r="J162" s="31">
        <v>1535</v>
      </c>
      <c r="K162" s="31">
        <v>1535</v>
      </c>
      <c r="L162" s="31">
        <v>636533.81999999995</v>
      </c>
      <c r="M162" s="31">
        <v>2450000</v>
      </c>
      <c r="N162" s="32">
        <f>IFERROR(L162/I162,"")</f>
        <v>1.1299998304646497</v>
      </c>
      <c r="O162" s="32">
        <f>IF(D162="a",K162/25000,IF(D162="b",K162/15000,IF(D162="c",K162/5000)))/H162</f>
        <v>0.307</v>
      </c>
    </row>
    <row r="163" spans="1:15" x14ac:dyDescent="0.3">
      <c r="A163" s="1" t="s">
        <v>279</v>
      </c>
      <c r="B163" s="26" t="s">
        <v>280</v>
      </c>
      <c r="C163" s="27" t="s">
        <v>92</v>
      </c>
      <c r="D163" s="27" t="s">
        <v>21</v>
      </c>
      <c r="E163" s="28">
        <v>45806</v>
      </c>
      <c r="F163" s="29">
        <v>5</v>
      </c>
      <c r="H163" s="30">
        <v>1</v>
      </c>
      <c r="I163" s="31">
        <v>1446286.8499999989</v>
      </c>
      <c r="J163" s="31">
        <v>4826</v>
      </c>
      <c r="K163" s="31">
        <v>4363</v>
      </c>
      <c r="L163" s="31">
        <v>1688260</v>
      </c>
      <c r="M163" s="31">
        <v>1850000</v>
      </c>
      <c r="N163" s="32">
        <f>IFERROR(L163/I163,"")</f>
        <v>1.1673064717417581</v>
      </c>
      <c r="O163" s="32">
        <f>IF(D163="a",K163/25000,IF(D163="b",K163/15000,IF(D163="c",K163/5000)))/H163</f>
        <v>0.87260000000000004</v>
      </c>
    </row>
    <row r="164" spans="1:15" x14ac:dyDescent="0.3">
      <c r="A164" s="1" t="s">
        <v>427</v>
      </c>
      <c r="B164" s="26" t="s">
        <v>428</v>
      </c>
      <c r="C164" s="27" t="s">
        <v>27</v>
      </c>
      <c r="D164" s="27" t="s">
        <v>21</v>
      </c>
      <c r="E164" s="28">
        <v>45891</v>
      </c>
      <c r="F164" s="29">
        <v>8</v>
      </c>
      <c r="H164" s="30">
        <v>1</v>
      </c>
      <c r="I164" s="31">
        <v>216624.60000000027</v>
      </c>
      <c r="J164" s="31">
        <v>650</v>
      </c>
      <c r="K164" s="31">
        <v>647</v>
      </c>
      <c r="L164" s="31">
        <v>244785.34999999998</v>
      </c>
      <c r="M164" s="31">
        <v>3000000</v>
      </c>
      <c r="N164" s="32">
        <f>IFERROR(L164/I164,"")</f>
        <v>1.1299979319061624</v>
      </c>
      <c r="O164" s="32">
        <f>IF(D164="a",K164/25000,IF(D164="b",K164/15000,IF(D164="c",K164/5000)))/H164</f>
        <v>0.12939999999999999</v>
      </c>
    </row>
    <row r="165" spans="1:15" x14ac:dyDescent="0.3">
      <c r="A165" s="1" t="s">
        <v>84</v>
      </c>
      <c r="B165" s="26" t="s">
        <v>85</v>
      </c>
      <c r="C165" s="27" t="s">
        <v>24</v>
      </c>
      <c r="D165" s="27" t="s">
        <v>21</v>
      </c>
      <c r="E165" s="28">
        <v>45723</v>
      </c>
      <c r="F165" s="29">
        <v>3</v>
      </c>
      <c r="G165" s="28">
        <v>46273</v>
      </c>
      <c r="H165" s="30">
        <v>2</v>
      </c>
      <c r="I165" s="31">
        <v>3956231.1900000018</v>
      </c>
      <c r="J165" s="31">
        <v>10195</v>
      </c>
      <c r="K165" s="31">
        <v>9615</v>
      </c>
      <c r="L165" s="31">
        <v>4472613.8699999992</v>
      </c>
      <c r="M165" s="31">
        <v>6000000</v>
      </c>
      <c r="N165" s="32">
        <f>IFERROR(L165/I165,"")</f>
        <v>1.1305238888225835</v>
      </c>
      <c r="O165" s="32">
        <f>IF(D165="a",K165/25000,IF(D165="b",K165/15000,IF(D165="c",K165/5000)))/H165</f>
        <v>0.96150000000000002</v>
      </c>
    </row>
    <row r="166" spans="1:15" x14ac:dyDescent="0.3">
      <c r="A166" s="1" t="s">
        <v>259</v>
      </c>
      <c r="B166" s="26" t="s">
        <v>260</v>
      </c>
      <c r="C166" s="27" t="s">
        <v>159</v>
      </c>
      <c r="D166" s="27" t="s">
        <v>28</v>
      </c>
      <c r="E166" s="28">
        <v>45798</v>
      </c>
      <c r="F166" s="29">
        <v>5</v>
      </c>
      <c r="H166" s="30">
        <v>1</v>
      </c>
      <c r="I166" s="31">
        <v>10873099.970000016</v>
      </c>
      <c r="J166" s="31">
        <v>38104</v>
      </c>
      <c r="K166" s="31">
        <v>31097</v>
      </c>
      <c r="L166" s="31">
        <v>12285943.34</v>
      </c>
      <c r="M166" s="31">
        <v>19000000</v>
      </c>
      <c r="N166" s="32">
        <f>IFERROR(L166/I166,"")</f>
        <v>1.1299393341271728</v>
      </c>
      <c r="O166" s="32">
        <f>IF(D166="a",K166/25000,IF(D166="b",K166/15000,IF(D166="c",K166/5000)))/H166</f>
        <v>1.2438800000000001</v>
      </c>
    </row>
    <row r="167" spans="1:15" x14ac:dyDescent="0.3">
      <c r="A167" s="1" t="s">
        <v>18</v>
      </c>
      <c r="B167" s="26" t="s">
        <v>19</v>
      </c>
      <c r="C167" s="27" t="s">
        <v>20</v>
      </c>
      <c r="D167" s="27" t="s">
        <v>21</v>
      </c>
      <c r="E167" s="28">
        <v>45707</v>
      </c>
      <c r="F167" s="29">
        <v>2</v>
      </c>
      <c r="H167" s="30">
        <v>1</v>
      </c>
      <c r="I167" s="31">
        <v>4510756.1200000159</v>
      </c>
      <c r="J167" s="31">
        <v>14755</v>
      </c>
      <c r="K167" s="31">
        <v>13003</v>
      </c>
      <c r="L167" s="31">
        <v>5100000</v>
      </c>
      <c r="M167" s="31">
        <v>5100000</v>
      </c>
      <c r="N167" s="32">
        <f>IFERROR(L167/I167,"")</f>
        <v>1.1306308442142028</v>
      </c>
      <c r="O167" s="32">
        <f>IF(D167="a",K167/25000,IF(D167="b",K167/15000,IF(D167="c",K167/5000)))/H167</f>
        <v>2.6006</v>
      </c>
    </row>
    <row r="168" spans="1:15" x14ac:dyDescent="0.3">
      <c r="A168" s="1" t="s">
        <v>273</v>
      </c>
      <c r="B168" s="26" t="s">
        <v>274</v>
      </c>
      <c r="C168" s="27" t="s">
        <v>20</v>
      </c>
      <c r="D168" s="27" t="s">
        <v>35</v>
      </c>
      <c r="E168" s="28">
        <v>45791</v>
      </c>
      <c r="F168" s="29">
        <v>5</v>
      </c>
      <c r="H168" s="30">
        <v>1</v>
      </c>
      <c r="I168" s="31">
        <v>4980844.4099999666</v>
      </c>
      <c r="J168" s="31">
        <v>16814</v>
      </c>
      <c r="K168" s="31">
        <v>14620</v>
      </c>
      <c r="L168" s="31">
        <v>6000000</v>
      </c>
      <c r="M168" s="31">
        <v>6000000</v>
      </c>
      <c r="N168" s="32">
        <f>IFERROR(L168/I168,"")</f>
        <v>1.2046150222949927</v>
      </c>
      <c r="O168" s="32">
        <f>IF(D168="a",K168/25000,IF(D168="b",K168/15000,IF(D168="c",K168/5000)))/H168</f>
        <v>0.97466666666666668</v>
      </c>
    </row>
    <row r="169" spans="1:15" x14ac:dyDescent="0.3">
      <c r="A169" s="1" t="s">
        <v>235</v>
      </c>
      <c r="B169" s="26" t="s">
        <v>236</v>
      </c>
      <c r="C169" s="27" t="s">
        <v>20</v>
      </c>
      <c r="D169" s="27" t="s">
        <v>21</v>
      </c>
      <c r="E169" s="28">
        <v>45758</v>
      </c>
      <c r="F169" s="29">
        <v>4</v>
      </c>
      <c r="H169" s="30">
        <v>1</v>
      </c>
      <c r="I169" s="31">
        <v>656066.40000000037</v>
      </c>
      <c r="J169" s="31">
        <v>2065</v>
      </c>
      <c r="K169" s="31">
        <v>2065</v>
      </c>
      <c r="L169" s="31">
        <v>768904.89</v>
      </c>
      <c r="M169" s="31">
        <v>3000000</v>
      </c>
      <c r="N169" s="32">
        <f>IFERROR(L169/I169,"")</f>
        <v>1.1719924842973204</v>
      </c>
      <c r="O169" s="32">
        <f>IF(D169="a",K169/25000,IF(D169="b",K169/15000,IF(D169="c",K169/5000)))/H169</f>
        <v>0.41299999999999998</v>
      </c>
    </row>
    <row r="170" spans="1:15" x14ac:dyDescent="0.3">
      <c r="B170" s="26" t="s">
        <v>438</v>
      </c>
      <c r="C170" s="27" t="s">
        <v>20</v>
      </c>
      <c r="D170" s="27" t="s">
        <v>21</v>
      </c>
      <c r="E170" s="28">
        <v>45922</v>
      </c>
      <c r="F170" s="29">
        <v>9</v>
      </c>
      <c r="H170" s="30">
        <v>1</v>
      </c>
      <c r="I170" s="34">
        <v>141229.41</v>
      </c>
      <c r="J170" s="34">
        <v>412</v>
      </c>
      <c r="K170" s="34">
        <v>412</v>
      </c>
      <c r="L170" s="31">
        <v>160000</v>
      </c>
      <c r="M170" s="31">
        <v>3000000</v>
      </c>
      <c r="N170" s="32">
        <f>IFERROR(L170/I170,"")</f>
        <v>1.1329085068046378</v>
      </c>
      <c r="O170" s="32">
        <f>IF(D170="a",K170/25000,IF(D170="b",K170/15000,IF(D170="c",K170/5000)))/H170</f>
        <v>8.2400000000000001E-2</v>
      </c>
    </row>
    <row r="171" spans="1:15" x14ac:dyDescent="0.3">
      <c r="A171" s="1" t="s">
        <v>196</v>
      </c>
      <c r="B171" s="26" t="s">
        <v>197</v>
      </c>
      <c r="C171" s="27" t="s">
        <v>198</v>
      </c>
      <c r="D171" s="27" t="s">
        <v>21</v>
      </c>
      <c r="E171" s="28">
        <v>45750</v>
      </c>
      <c r="F171" s="29">
        <v>4</v>
      </c>
      <c r="H171" s="30">
        <v>1</v>
      </c>
      <c r="I171" s="31">
        <v>1572946.37</v>
      </c>
      <c r="J171" s="31">
        <v>5538</v>
      </c>
      <c r="K171" s="31">
        <v>5538</v>
      </c>
      <c r="L171" s="31">
        <v>1777429.16</v>
      </c>
      <c r="M171" s="31">
        <v>3900000</v>
      </c>
      <c r="N171" s="32">
        <f>IFERROR(L171/I171,"")</f>
        <v>1.1299998486280241</v>
      </c>
      <c r="O171" s="32">
        <f>IF(D171="a",K171/25000,IF(D171="b",K171/15000,IF(D171="c",K171/5000)))/H171</f>
        <v>1.1075999999999999</v>
      </c>
    </row>
    <row r="172" spans="1:15" x14ac:dyDescent="0.3">
      <c r="B172" s="26" t="s">
        <v>467</v>
      </c>
      <c r="C172" s="27" t="s">
        <v>20</v>
      </c>
      <c r="D172" s="27" t="s">
        <v>21</v>
      </c>
      <c r="E172" s="28">
        <v>46111</v>
      </c>
      <c r="F172" s="29" t="s">
        <v>459</v>
      </c>
      <c r="H172" s="30">
        <v>1</v>
      </c>
      <c r="I172" s="34">
        <v>0</v>
      </c>
      <c r="J172" s="34">
        <v>9</v>
      </c>
      <c r="K172" s="34">
        <v>9</v>
      </c>
      <c r="L172" s="31">
        <v>0</v>
      </c>
      <c r="M172" s="34">
        <v>3000000</v>
      </c>
      <c r="N172" s="32" t="str">
        <f>IFERROR(L172/I172,"")</f>
        <v/>
      </c>
      <c r="O172" s="32">
        <f>IF(D172="a",K172/25000,IF(D172="b",K172/15000,IF(D172="c",K172/5000)))/H172</f>
        <v>1.8E-3</v>
      </c>
    </row>
    <row r="173" spans="1:15" x14ac:dyDescent="0.3">
      <c r="A173" s="1" t="s">
        <v>227</v>
      </c>
      <c r="B173" s="26" t="s">
        <v>228</v>
      </c>
      <c r="C173" s="27" t="s">
        <v>27</v>
      </c>
      <c r="D173" s="27" t="s">
        <v>21</v>
      </c>
      <c r="E173" s="28">
        <v>45748</v>
      </c>
      <c r="F173" s="29">
        <v>4</v>
      </c>
      <c r="H173" s="30">
        <v>1</v>
      </c>
      <c r="I173" s="31">
        <v>1133259.619999998</v>
      </c>
      <c r="J173" s="31">
        <v>3476</v>
      </c>
      <c r="K173" s="31">
        <v>3147</v>
      </c>
      <c r="L173" s="31">
        <v>1271719.2699999998</v>
      </c>
      <c r="M173" s="31">
        <v>3000000</v>
      </c>
      <c r="N173" s="32">
        <f>IFERROR(L173/I173,"")</f>
        <v>1.1221782260273263</v>
      </c>
      <c r="O173" s="32">
        <f>IF(D173="a",K173/25000,IF(D173="b",K173/15000,IF(D173="c",K173/5000)))/H173</f>
        <v>0.62939999999999996</v>
      </c>
    </row>
    <row r="174" spans="1:15" x14ac:dyDescent="0.3">
      <c r="A174" s="1" t="s">
        <v>379</v>
      </c>
      <c r="B174" s="26" t="s">
        <v>380</v>
      </c>
      <c r="C174" s="27" t="s">
        <v>27</v>
      </c>
      <c r="D174" s="27" t="s">
        <v>21</v>
      </c>
      <c r="E174" s="28">
        <v>45814</v>
      </c>
      <c r="F174" s="29">
        <v>6</v>
      </c>
      <c r="H174" s="30">
        <v>1</v>
      </c>
      <c r="I174" s="31">
        <v>32112.649999999994</v>
      </c>
      <c r="J174" s="31">
        <v>94</v>
      </c>
      <c r="K174" s="31">
        <v>94</v>
      </c>
      <c r="L174" s="31">
        <v>36705.86</v>
      </c>
      <c r="M174" s="31">
        <v>3000000</v>
      </c>
      <c r="N174" s="32">
        <f>IFERROR(L174/I174,"")</f>
        <v>1.1430342871111543</v>
      </c>
      <c r="O174" s="32">
        <f>IF(D174="a",K174/25000,IF(D174="b",K174/15000,IF(D174="c",K174/5000)))/H174</f>
        <v>1.8800000000000001E-2</v>
      </c>
    </row>
    <row r="175" spans="1:15" x14ac:dyDescent="0.3">
      <c r="A175" s="1" t="s">
        <v>162</v>
      </c>
      <c r="B175" s="26" t="s">
        <v>163</v>
      </c>
      <c r="C175" s="27" t="s">
        <v>27</v>
      </c>
      <c r="D175" s="27" t="s">
        <v>21</v>
      </c>
      <c r="E175" s="28">
        <v>45729</v>
      </c>
      <c r="F175" s="29">
        <v>3</v>
      </c>
      <c r="H175" s="30">
        <v>1</v>
      </c>
      <c r="I175" s="31">
        <v>429958.74000000022</v>
      </c>
      <c r="J175" s="31">
        <v>1109</v>
      </c>
      <c r="K175" s="31">
        <v>1109</v>
      </c>
      <c r="L175" s="31">
        <v>496303.76000000007</v>
      </c>
      <c r="M175" s="31">
        <v>3000000</v>
      </c>
      <c r="N175" s="32">
        <f>IFERROR(L175/I175,"")</f>
        <v>1.1543055503418767</v>
      </c>
      <c r="O175" s="32">
        <f>IF(D175="a",K175/25000,IF(D175="b",K175/15000,IF(D175="c",K175/5000)))/H175</f>
        <v>0.2218</v>
      </c>
    </row>
    <row r="176" spans="1:15" x14ac:dyDescent="0.3">
      <c r="A176" s="1" t="s">
        <v>247</v>
      </c>
      <c r="B176" s="26" t="s">
        <v>248</v>
      </c>
      <c r="C176" s="27" t="s">
        <v>27</v>
      </c>
      <c r="D176" s="27" t="s">
        <v>21</v>
      </c>
      <c r="E176" s="28">
        <v>45748</v>
      </c>
      <c r="F176" s="29">
        <v>4</v>
      </c>
      <c r="H176" s="30">
        <v>1</v>
      </c>
      <c r="I176" s="31">
        <v>227325.6800000004</v>
      </c>
      <c r="J176" s="31">
        <v>619</v>
      </c>
      <c r="K176" s="31">
        <v>619</v>
      </c>
      <c r="L176" s="31">
        <v>256880.82</v>
      </c>
      <c r="M176" s="31">
        <v>3000000</v>
      </c>
      <c r="N176" s="32">
        <f>IFERROR(L176/I176,"")</f>
        <v>1.1300123241685653</v>
      </c>
      <c r="O176" s="32">
        <f>IF(D176="a",K176/25000,IF(D176="b",K176/15000,IF(D176="c",K176/5000)))/H176</f>
        <v>0.12379999999999999</v>
      </c>
    </row>
    <row r="177" spans="1:15" x14ac:dyDescent="0.3">
      <c r="A177" s="1" t="s">
        <v>263</v>
      </c>
      <c r="B177" s="26" t="s">
        <v>264</v>
      </c>
      <c r="C177" s="27" t="s">
        <v>27</v>
      </c>
      <c r="D177" s="27" t="s">
        <v>21</v>
      </c>
      <c r="E177" s="28">
        <v>45806</v>
      </c>
      <c r="F177" s="29">
        <v>5</v>
      </c>
      <c r="H177" s="30">
        <v>1</v>
      </c>
      <c r="I177" s="31">
        <v>1489756.070000005</v>
      </c>
      <c r="J177" s="31">
        <v>5838</v>
      </c>
      <c r="K177" s="31">
        <v>5384</v>
      </c>
      <c r="L177" s="31">
        <v>1878592.7099999997</v>
      </c>
      <c r="M177" s="31">
        <v>3000000</v>
      </c>
      <c r="N177" s="32">
        <f>IFERROR(L177/I177,"")</f>
        <v>1.2610069177298224</v>
      </c>
      <c r="O177" s="32">
        <f>IF(D177="a",K177/25000,IF(D177="b",K177/15000,IF(D177="c",K177/5000)))/H177</f>
        <v>1.0768</v>
      </c>
    </row>
    <row r="178" spans="1:15" x14ac:dyDescent="0.3">
      <c r="A178" s="1" t="s">
        <v>118</v>
      </c>
      <c r="B178" s="26" t="s">
        <v>119</v>
      </c>
      <c r="C178" s="27" t="s">
        <v>24</v>
      </c>
      <c r="D178" s="27" t="s">
        <v>28</v>
      </c>
      <c r="E178" s="28">
        <v>45744</v>
      </c>
      <c r="F178" s="29">
        <v>3</v>
      </c>
      <c r="G178" s="28" t="s">
        <v>120</v>
      </c>
      <c r="H178" s="30">
        <v>2</v>
      </c>
      <c r="I178" s="31">
        <v>11636782.849999968</v>
      </c>
      <c r="J178" s="31">
        <v>37678</v>
      </c>
      <c r="K178" s="31">
        <v>33777</v>
      </c>
      <c r="L178" s="31">
        <v>12276195.409999998</v>
      </c>
      <c r="M178" s="31">
        <v>15000000</v>
      </c>
      <c r="N178" s="32">
        <f>IFERROR(L178/I178,"")</f>
        <v>1.054947537325579</v>
      </c>
      <c r="O178" s="32">
        <f>IF(D178="a",K178/25000,IF(D178="b",K178/15000,IF(D178="c",K178/5000)))/H178</f>
        <v>0.67554000000000003</v>
      </c>
    </row>
    <row r="179" spans="1:15" x14ac:dyDescent="0.3">
      <c r="A179" s="1" t="s">
        <v>139</v>
      </c>
      <c r="B179" s="26" t="s">
        <v>140</v>
      </c>
      <c r="C179" s="27" t="s">
        <v>24</v>
      </c>
      <c r="D179" s="27" t="s">
        <v>28</v>
      </c>
      <c r="E179" s="28">
        <v>45723</v>
      </c>
      <c r="F179" s="29">
        <v>3</v>
      </c>
      <c r="H179" s="30">
        <v>1</v>
      </c>
      <c r="I179" s="31">
        <v>4503235.7300000153</v>
      </c>
      <c r="J179" s="31">
        <v>16137</v>
      </c>
      <c r="K179" s="31">
        <v>13813</v>
      </c>
      <c r="L179" s="31">
        <v>5170336.4399999995</v>
      </c>
      <c r="M179" s="31">
        <v>9000000</v>
      </c>
      <c r="N179" s="32">
        <f>IFERROR(L179/I179,"")</f>
        <v>1.148138083368774</v>
      </c>
      <c r="O179" s="32">
        <f>IF(D179="a",K179/25000,IF(D179="b",K179/15000,IF(D179="c",K179/5000)))/H179</f>
        <v>0.55252000000000001</v>
      </c>
    </row>
    <row r="180" spans="1:15" x14ac:dyDescent="0.3">
      <c r="A180" s="1" t="s">
        <v>261</v>
      </c>
      <c r="B180" s="26" t="s">
        <v>262</v>
      </c>
      <c r="C180" s="27" t="s">
        <v>31</v>
      </c>
      <c r="D180" s="27" t="s">
        <v>21</v>
      </c>
      <c r="E180" s="28">
        <v>45806</v>
      </c>
      <c r="F180" s="29">
        <v>5</v>
      </c>
      <c r="H180" s="30">
        <v>1</v>
      </c>
      <c r="I180" s="31">
        <v>1765739.9100000025</v>
      </c>
      <c r="J180" s="31">
        <v>5926</v>
      </c>
      <c r="K180" s="31">
        <v>5566</v>
      </c>
      <c r="L180" s="31">
        <v>1955845.1499999997</v>
      </c>
      <c r="M180" s="31">
        <v>3000000</v>
      </c>
      <c r="N180" s="32">
        <f>IFERROR(L180/I180,"")</f>
        <v>1.1076632175120269</v>
      </c>
      <c r="O180" s="32">
        <f>IF(D180="a",K180/25000,IF(D180="b",K180/15000,IF(D180="c",K180/5000)))/H180</f>
        <v>1.1132</v>
      </c>
    </row>
    <row r="181" spans="1:15" x14ac:dyDescent="0.3">
      <c r="A181" s="1" t="s">
        <v>143</v>
      </c>
      <c r="B181" s="26" t="s">
        <v>144</v>
      </c>
      <c r="C181" s="27" t="s">
        <v>31</v>
      </c>
      <c r="D181" s="27" t="s">
        <v>21</v>
      </c>
      <c r="E181" s="28">
        <v>45729</v>
      </c>
      <c r="F181" s="29">
        <v>3</v>
      </c>
      <c r="G181" s="28">
        <v>46459</v>
      </c>
      <c r="H181" s="30">
        <v>2</v>
      </c>
      <c r="I181" s="31">
        <v>1815681.4300000032</v>
      </c>
      <c r="J181" s="31">
        <v>5841</v>
      </c>
      <c r="K181" s="31">
        <v>5301</v>
      </c>
      <c r="L181" s="31">
        <v>2091969.3800000004</v>
      </c>
      <c r="M181" s="31">
        <v>3000000</v>
      </c>
      <c r="N181" s="32">
        <f>IFERROR(L181/I181,"")</f>
        <v>1.1521676354865824</v>
      </c>
      <c r="O181" s="32">
        <f>IF(D181="a",K181/25000,IF(D181="b",K181/15000,IF(D181="c",K181/5000)))/H181</f>
        <v>0.53010000000000002</v>
      </c>
    </row>
    <row r="182" spans="1:15" x14ac:dyDescent="0.3">
      <c r="A182" s="1" t="s">
        <v>107</v>
      </c>
      <c r="B182" s="26" t="s">
        <v>108</v>
      </c>
      <c r="C182" s="27" t="s">
        <v>20</v>
      </c>
      <c r="D182" s="27" t="s">
        <v>35</v>
      </c>
      <c r="E182" s="28">
        <v>45729</v>
      </c>
      <c r="F182" s="29">
        <v>3</v>
      </c>
      <c r="H182" s="30">
        <v>1</v>
      </c>
      <c r="I182" s="31">
        <v>3384023.0599999973</v>
      </c>
      <c r="J182" s="31">
        <v>12140</v>
      </c>
      <c r="K182" s="31">
        <v>10747</v>
      </c>
      <c r="L182" s="31">
        <v>3823758.79</v>
      </c>
      <c r="M182" s="31">
        <v>6000000</v>
      </c>
      <c r="N182" s="32">
        <f>IFERROR(L182/I182,"")</f>
        <v>1.1299446611927058</v>
      </c>
      <c r="O182" s="32">
        <f>IF(D182="a",K182/25000,IF(D182="b",K182/15000,IF(D182="c",K182/5000)))/H182</f>
        <v>0.7164666666666667</v>
      </c>
    </row>
    <row r="183" spans="1:15" x14ac:dyDescent="0.3">
      <c r="A183" s="1" t="s">
        <v>88</v>
      </c>
      <c r="B183" s="26" t="s">
        <v>89</v>
      </c>
      <c r="C183" s="27" t="s">
        <v>20</v>
      </c>
      <c r="D183" s="27" t="s">
        <v>35</v>
      </c>
      <c r="E183" s="28">
        <v>45734</v>
      </c>
      <c r="F183" s="29">
        <v>3</v>
      </c>
      <c r="H183" s="30">
        <v>1</v>
      </c>
      <c r="I183" s="31">
        <v>4554654.1899999985</v>
      </c>
      <c r="J183" s="31">
        <v>14733</v>
      </c>
      <c r="K183" s="31">
        <v>12972</v>
      </c>
      <c r="L183" s="31">
        <v>4976887.2100000009</v>
      </c>
      <c r="M183" s="31">
        <v>6600000</v>
      </c>
      <c r="N183" s="32">
        <f>IFERROR(L183/I183,"")</f>
        <v>1.0927036394831113</v>
      </c>
      <c r="O183" s="32">
        <f>IF(D183="a",K183/25000,IF(D183="b",K183/15000,IF(D183="c",K183/5000)))/H183</f>
        <v>0.86480000000000001</v>
      </c>
    </row>
    <row r="184" spans="1:15" x14ac:dyDescent="0.3">
      <c r="A184" s="1" t="s">
        <v>95</v>
      </c>
      <c r="B184" s="26" t="s">
        <v>96</v>
      </c>
      <c r="C184" s="27" t="s">
        <v>20</v>
      </c>
      <c r="D184" s="27" t="s">
        <v>21</v>
      </c>
      <c r="E184" s="28">
        <v>45733</v>
      </c>
      <c r="F184" s="29">
        <v>3</v>
      </c>
      <c r="G184" s="28">
        <v>46361</v>
      </c>
      <c r="H184" s="30">
        <v>2</v>
      </c>
      <c r="I184" s="31">
        <v>2668114.599999994</v>
      </c>
      <c r="J184" s="31">
        <v>8692</v>
      </c>
      <c r="K184" s="31">
        <v>7856</v>
      </c>
      <c r="L184" s="31">
        <v>3005888.6</v>
      </c>
      <c r="M184" s="31">
        <v>3080000</v>
      </c>
      <c r="N184" s="32">
        <f>IFERROR(L184/I184,"")</f>
        <v>1.1265965112593015</v>
      </c>
      <c r="O184" s="32">
        <f>IF(D184="a",K184/25000,IF(D184="b",K184/15000,IF(D184="c",K184/5000)))/H184</f>
        <v>0.78559999999999997</v>
      </c>
    </row>
    <row r="185" spans="1:15" x14ac:dyDescent="0.3">
      <c r="A185" s="1" t="s">
        <v>323</v>
      </c>
      <c r="B185" s="26" t="s">
        <v>324</v>
      </c>
      <c r="C185" s="27" t="s">
        <v>20</v>
      </c>
      <c r="D185" s="27" t="s">
        <v>21</v>
      </c>
      <c r="E185" s="28">
        <v>45792</v>
      </c>
      <c r="F185" s="29">
        <v>5</v>
      </c>
      <c r="H185" s="30">
        <v>1</v>
      </c>
      <c r="I185" s="31">
        <v>310586.81000000023</v>
      </c>
      <c r="J185" s="31">
        <v>874</v>
      </c>
      <c r="K185" s="31">
        <v>874</v>
      </c>
      <c r="L185" s="31">
        <v>346943.28</v>
      </c>
      <c r="M185" s="31">
        <v>3000000</v>
      </c>
      <c r="N185" s="32">
        <f>IFERROR(L185/I185,"")</f>
        <v>1.1170573534658468</v>
      </c>
      <c r="O185" s="32">
        <f>IF(D185="a",K185/25000,IF(D185="b",K185/15000,IF(D185="c",K185/5000)))/H185</f>
        <v>0.17480000000000001</v>
      </c>
    </row>
    <row r="186" spans="1:15" x14ac:dyDescent="0.3">
      <c r="A186" s="1" t="s">
        <v>188</v>
      </c>
      <c r="B186" s="26" t="s">
        <v>189</v>
      </c>
      <c r="C186" s="27" t="s">
        <v>20</v>
      </c>
      <c r="D186" s="27" t="s">
        <v>21</v>
      </c>
      <c r="E186" s="28">
        <v>45770</v>
      </c>
      <c r="F186" s="29">
        <v>4</v>
      </c>
      <c r="H186" s="30">
        <v>1</v>
      </c>
      <c r="I186" s="31">
        <v>2321347.4399999995</v>
      </c>
      <c r="J186" s="31">
        <v>7397</v>
      </c>
      <c r="K186" s="31">
        <v>6666</v>
      </c>
      <c r="L186" s="31">
        <v>2636990.88</v>
      </c>
      <c r="M186" s="31">
        <v>3060000</v>
      </c>
      <c r="N186" s="32">
        <f>IFERROR(L186/I186,"")</f>
        <v>1.1359742339991985</v>
      </c>
      <c r="O186" s="32">
        <f>IF(D186="a",K186/25000,IF(D186="b",K186/15000,IF(D186="c",K186/5000)))/H186</f>
        <v>1.3331999999999999</v>
      </c>
    </row>
    <row r="187" spans="1:15" x14ac:dyDescent="0.3">
      <c r="A187" s="1" t="s">
        <v>369</v>
      </c>
      <c r="B187" s="26" t="s">
        <v>370</v>
      </c>
      <c r="C187" s="27" t="s">
        <v>63</v>
      </c>
      <c r="D187" s="27" t="s">
        <v>21</v>
      </c>
      <c r="E187" s="28">
        <v>45832</v>
      </c>
      <c r="F187" s="29">
        <v>6</v>
      </c>
      <c r="H187" s="30">
        <v>1</v>
      </c>
      <c r="I187" s="31">
        <v>286419.84000000003</v>
      </c>
      <c r="J187" s="31">
        <v>993</v>
      </c>
      <c r="K187" s="31">
        <v>973</v>
      </c>
      <c r="L187" s="31">
        <v>325133.50000000006</v>
      </c>
      <c r="M187" s="31">
        <v>3000000</v>
      </c>
      <c r="N187" s="32">
        <f>IFERROR(L187/I187,"")</f>
        <v>1.1351640305364321</v>
      </c>
      <c r="O187" s="32">
        <f>IF(D187="a",K187/25000,IF(D187="b",K187/15000,IF(D187="c",K187/5000)))/H187</f>
        <v>0.1946</v>
      </c>
    </row>
    <row r="188" spans="1:15" x14ac:dyDescent="0.3">
      <c r="A188" s="1" t="s">
        <v>241</v>
      </c>
      <c r="B188" s="26" t="s">
        <v>242</v>
      </c>
      <c r="C188" s="27" t="s">
        <v>56</v>
      </c>
      <c r="D188" s="27" t="s">
        <v>21</v>
      </c>
      <c r="E188" s="28">
        <v>45777</v>
      </c>
      <c r="F188" s="29">
        <v>4</v>
      </c>
      <c r="H188" s="30">
        <v>1</v>
      </c>
      <c r="I188" s="31">
        <v>516204.98000000021</v>
      </c>
      <c r="J188" s="31">
        <v>1645</v>
      </c>
      <c r="K188" s="31">
        <v>1645</v>
      </c>
      <c r="L188" s="31">
        <v>585529.32999999996</v>
      </c>
      <c r="M188" s="31">
        <v>3000000</v>
      </c>
      <c r="N188" s="32">
        <f>IFERROR(L188/I188,"")</f>
        <v>1.1342961666119526</v>
      </c>
      <c r="O188" s="32">
        <f>IF(D188="a",K188/25000,IF(D188="b",K188/15000,IF(D188="c",K188/5000)))/H188</f>
        <v>0.32900000000000001</v>
      </c>
    </row>
    <row r="189" spans="1:15" x14ac:dyDescent="0.3">
      <c r="A189" s="1" t="s">
        <v>237</v>
      </c>
      <c r="B189" s="26" t="s">
        <v>238</v>
      </c>
      <c r="C189" s="27" t="s">
        <v>56</v>
      </c>
      <c r="D189" s="27" t="s">
        <v>21</v>
      </c>
      <c r="E189" s="28">
        <v>45770</v>
      </c>
      <c r="F189" s="29">
        <v>4</v>
      </c>
      <c r="H189" s="30">
        <v>1</v>
      </c>
      <c r="I189" s="31">
        <v>534903.28000000014</v>
      </c>
      <c r="J189" s="31">
        <v>1851</v>
      </c>
      <c r="K189" s="31">
        <v>1850</v>
      </c>
      <c r="L189" s="31">
        <v>627152.90999999992</v>
      </c>
      <c r="M189" s="31">
        <v>3000000</v>
      </c>
      <c r="N189" s="32">
        <f>IFERROR(L189/I189,"")</f>
        <v>1.1724603932135165</v>
      </c>
      <c r="O189" s="32">
        <f>IF(D189="a",K189/25000,IF(D189="b",K189/15000,IF(D189="c",K189/5000)))/H189</f>
        <v>0.37</v>
      </c>
    </row>
    <row r="190" spans="1:15" x14ac:dyDescent="0.3">
      <c r="A190" s="1" t="s">
        <v>285</v>
      </c>
      <c r="B190" s="26" t="s">
        <v>286</v>
      </c>
      <c r="C190" s="27" t="s">
        <v>56</v>
      </c>
      <c r="D190" s="27" t="s">
        <v>35</v>
      </c>
      <c r="E190" s="28">
        <v>45789</v>
      </c>
      <c r="F190" s="29">
        <v>5</v>
      </c>
      <c r="H190" s="30">
        <v>1</v>
      </c>
      <c r="I190" s="31">
        <v>3464652.610000005</v>
      </c>
      <c r="J190" s="31">
        <v>10993</v>
      </c>
      <c r="K190" s="31">
        <v>10018</v>
      </c>
      <c r="L190" s="31">
        <v>4002337.5300000003</v>
      </c>
      <c r="M190" s="31">
        <v>6000000</v>
      </c>
      <c r="N190" s="32">
        <f>IFERROR(L190/I190,"")</f>
        <v>1.1551915821078507</v>
      </c>
      <c r="O190" s="32">
        <f>IF(D190="a",K190/25000,IF(D190="b",K190/15000,IF(D190="c",K190/5000)))/H190</f>
        <v>0.66786666666666672</v>
      </c>
    </row>
    <row r="191" spans="1:15" x14ac:dyDescent="0.3">
      <c r="A191" s="1" t="s">
        <v>123</v>
      </c>
      <c r="B191" s="26" t="s">
        <v>124</v>
      </c>
      <c r="C191" s="27" t="s">
        <v>56</v>
      </c>
      <c r="D191" s="27" t="s">
        <v>28</v>
      </c>
      <c r="E191" s="28">
        <v>45733</v>
      </c>
      <c r="F191" s="29">
        <v>3</v>
      </c>
      <c r="H191" s="30">
        <v>1</v>
      </c>
      <c r="I191" s="31">
        <v>5602788.870000015</v>
      </c>
      <c r="J191" s="31">
        <v>18571</v>
      </c>
      <c r="K191" s="31">
        <v>16437</v>
      </c>
      <c r="L191" s="31">
        <v>4786320.8099999996</v>
      </c>
      <c r="M191" s="31">
        <v>9000000</v>
      </c>
      <c r="N191" s="32">
        <f>IFERROR(L191/I191,"")</f>
        <v>0.8542747051612507</v>
      </c>
      <c r="O191" s="32">
        <f>IF(D191="a",K191/25000,IF(D191="b",K191/15000,IF(D191="c",K191/5000)))/H191</f>
        <v>0.65747999999999995</v>
      </c>
    </row>
    <row r="192" spans="1:15" x14ac:dyDescent="0.3">
      <c r="B192" s="26" t="s">
        <v>430</v>
      </c>
      <c r="C192" s="27" t="s">
        <v>431</v>
      </c>
      <c r="D192" s="27" t="s">
        <v>21</v>
      </c>
      <c r="E192" s="28">
        <v>45915</v>
      </c>
      <c r="F192" s="29">
        <v>9</v>
      </c>
      <c r="H192" s="30">
        <v>1</v>
      </c>
      <c r="I192" s="34">
        <v>1361475.4499999981</v>
      </c>
      <c r="J192" s="34">
        <v>4414</v>
      </c>
      <c r="K192" s="34">
        <v>4129</v>
      </c>
      <c r="L192" s="31">
        <v>1534944.0699999998</v>
      </c>
      <c r="M192" s="31">
        <v>3000000</v>
      </c>
      <c r="N192" s="32">
        <f>IFERROR(L192/I192,"")</f>
        <v>1.1274122276681537</v>
      </c>
      <c r="O192" s="32">
        <f>IF(D192="a",K192/25000,IF(D192="b",K192/15000,IF(D192="c",K192/5000)))/H192</f>
        <v>0.82579999999999998</v>
      </c>
    </row>
    <row r="193" spans="1:15" x14ac:dyDescent="0.3">
      <c r="A193" s="1" t="s">
        <v>275</v>
      </c>
      <c r="B193" s="26" t="s">
        <v>276</v>
      </c>
      <c r="C193" s="27" t="s">
        <v>159</v>
      </c>
      <c r="D193" s="27" t="s">
        <v>21</v>
      </c>
      <c r="E193" s="28">
        <v>45792</v>
      </c>
      <c r="F193" s="29">
        <v>5</v>
      </c>
      <c r="H193" s="30">
        <v>1</v>
      </c>
      <c r="I193" s="31">
        <v>788681.44000000414</v>
      </c>
      <c r="J193" s="31">
        <v>5147</v>
      </c>
      <c r="K193" s="31">
        <v>4678</v>
      </c>
      <c r="L193" s="31">
        <v>1850000</v>
      </c>
      <c r="M193" s="31">
        <v>2012848.8</v>
      </c>
      <c r="N193" s="32">
        <f>IFERROR(L193/I193,"")</f>
        <v>2.3456872523841694</v>
      </c>
      <c r="O193" s="32">
        <f>IF(D193="a",K193/25000,IF(D193="b",K193/15000,IF(D193="c",K193/5000)))/H193</f>
        <v>0.93559999999999999</v>
      </c>
    </row>
    <row r="194" spans="1:15" x14ac:dyDescent="0.3">
      <c r="B194" s="26" t="s">
        <v>460</v>
      </c>
      <c r="C194" s="27" t="s">
        <v>159</v>
      </c>
      <c r="D194" s="27" t="s">
        <v>28</v>
      </c>
      <c r="E194" s="28">
        <v>46092</v>
      </c>
      <c r="F194" s="29" t="s">
        <v>459</v>
      </c>
      <c r="H194" s="30">
        <v>1</v>
      </c>
      <c r="I194" s="34">
        <v>0</v>
      </c>
      <c r="J194" s="34">
        <v>3440</v>
      </c>
      <c r="K194" s="34">
        <v>3440</v>
      </c>
      <c r="L194" s="31">
        <v>0</v>
      </c>
      <c r="M194" s="34">
        <v>9250000</v>
      </c>
      <c r="N194" s="32" t="str">
        <f>IFERROR(L194/I194,"")</f>
        <v/>
      </c>
      <c r="O194" s="32">
        <f>IF(D194="a",K194/25000,IF(D194="b",K194/15000,IF(D194="c",K194/5000)))/H194</f>
        <v>0.1376</v>
      </c>
    </row>
    <row r="195" spans="1:15" x14ac:dyDescent="0.3">
      <c r="A195" s="1" t="s">
        <v>345</v>
      </c>
      <c r="B195" s="26" t="s">
        <v>346</v>
      </c>
      <c r="C195" s="27" t="s">
        <v>159</v>
      </c>
      <c r="D195" s="27" t="s">
        <v>21</v>
      </c>
      <c r="E195" s="28">
        <v>45833</v>
      </c>
      <c r="F195" s="29">
        <v>6</v>
      </c>
      <c r="H195" s="30">
        <v>1</v>
      </c>
      <c r="I195" s="31">
        <v>1220414.3700000003</v>
      </c>
      <c r="J195" s="31">
        <v>3264</v>
      </c>
      <c r="K195" s="31">
        <v>3264</v>
      </c>
      <c r="L195" s="31">
        <v>1376957.87</v>
      </c>
      <c r="M195" s="31">
        <v>3300000</v>
      </c>
      <c r="N195" s="32">
        <f>IFERROR(L195/I195,"")</f>
        <v>1.1282707774081682</v>
      </c>
      <c r="O195" s="32">
        <f>IF(D195="a",K195/25000,IF(D195="b",K195/15000,IF(D195="c",K195/5000)))/H195</f>
        <v>0.65280000000000005</v>
      </c>
    </row>
    <row r="196" spans="1:15" x14ac:dyDescent="0.3">
      <c r="B196" s="26" t="s">
        <v>447</v>
      </c>
      <c r="C196" s="27" t="s">
        <v>431</v>
      </c>
      <c r="D196" s="27" t="s">
        <v>21</v>
      </c>
      <c r="E196" s="28">
        <v>45966</v>
      </c>
      <c r="F196" s="29">
        <v>11</v>
      </c>
      <c r="H196" s="30">
        <v>1</v>
      </c>
      <c r="I196" s="34">
        <v>320266.17</v>
      </c>
      <c r="J196" s="34">
        <v>798</v>
      </c>
      <c r="K196" s="34">
        <v>798</v>
      </c>
      <c r="L196" s="31">
        <v>0</v>
      </c>
      <c r="M196" s="31">
        <v>1850000</v>
      </c>
      <c r="N196" s="32">
        <f>IFERROR(L196/I196,"")</f>
        <v>0</v>
      </c>
      <c r="O196" s="32">
        <f>IF(D196="a",K196/25000,IF(D196="b",K196/15000,IF(D196="c",K196/5000)))/H196</f>
        <v>0.15959999999999999</v>
      </c>
    </row>
    <row r="197" spans="1:15" x14ac:dyDescent="0.3">
      <c r="A197" s="1" t="s">
        <v>44</v>
      </c>
      <c r="B197" s="26" t="s">
        <v>45</v>
      </c>
      <c r="C197" s="27" t="s">
        <v>24</v>
      </c>
      <c r="D197" s="27" t="s">
        <v>28</v>
      </c>
      <c r="E197" s="28">
        <v>45707</v>
      </c>
      <c r="F197" s="29">
        <v>2</v>
      </c>
      <c r="G197" s="28">
        <v>46312</v>
      </c>
      <c r="H197" s="30">
        <v>2</v>
      </c>
      <c r="I197" s="31">
        <v>14440696.489999902</v>
      </c>
      <c r="J197" s="31">
        <v>50824</v>
      </c>
      <c r="K197" s="31">
        <v>41414</v>
      </c>
      <c r="L197" s="31">
        <v>16317985.09</v>
      </c>
      <c r="M197" s="31">
        <v>18250000</v>
      </c>
      <c r="N197" s="32">
        <f>IFERROR(L197/I197,"")</f>
        <v>1.1299998654012366</v>
      </c>
      <c r="O197" s="32">
        <f>IF(D197="a",K197/25000,IF(D197="b",K197/15000,IF(D197="c",K197/5000)))/H197</f>
        <v>0.82828000000000002</v>
      </c>
    </row>
    <row r="198" spans="1:15" x14ac:dyDescent="0.3">
      <c r="A198" s="1" t="s">
        <v>38</v>
      </c>
      <c r="B198" s="26" t="s">
        <v>39</v>
      </c>
      <c r="C198" s="27" t="s">
        <v>24</v>
      </c>
      <c r="D198" s="27" t="s">
        <v>35</v>
      </c>
      <c r="E198" s="28">
        <v>45716</v>
      </c>
      <c r="F198" s="29">
        <v>2</v>
      </c>
      <c r="H198" s="30">
        <v>1</v>
      </c>
      <c r="I198" s="31">
        <v>5563401.1800000388</v>
      </c>
      <c r="J198" s="31">
        <v>16996</v>
      </c>
      <c r="K198" s="31">
        <v>15699</v>
      </c>
      <c r="L198" s="31">
        <v>5157404.4099999992</v>
      </c>
      <c r="M198" s="31">
        <v>8000000</v>
      </c>
      <c r="N198" s="32">
        <f>IFERROR(L198/I198,"")</f>
        <v>0.92702363952116851</v>
      </c>
      <c r="O198" s="32">
        <f>IF(D198="a",K198/25000,IF(D198="b",K198/15000,IF(D198="c",K198/5000)))/H198</f>
        <v>1.0466</v>
      </c>
    </row>
    <row r="199" spans="1:15" x14ac:dyDescent="0.3">
      <c r="A199" s="1" t="s">
        <v>319</v>
      </c>
      <c r="B199" s="26" t="s">
        <v>320</v>
      </c>
      <c r="C199" s="27" t="s">
        <v>27</v>
      </c>
      <c r="D199" s="27" t="s">
        <v>21</v>
      </c>
      <c r="E199" s="28">
        <v>45791</v>
      </c>
      <c r="F199" s="29">
        <v>5</v>
      </c>
      <c r="H199" s="30">
        <v>1</v>
      </c>
      <c r="I199" s="31">
        <v>392266.08999999962</v>
      </c>
      <c r="J199" s="31">
        <v>1198</v>
      </c>
      <c r="K199" s="31">
        <v>1192</v>
      </c>
      <c r="L199" s="31">
        <v>440373.73999999993</v>
      </c>
      <c r="M199" s="31">
        <v>3000000</v>
      </c>
      <c r="N199" s="32">
        <f>IFERROR(L199/I199,"")</f>
        <v>1.1226403485450409</v>
      </c>
      <c r="O199" s="32">
        <f>IF(D199="a",K199/25000,IF(D199="b",K199/15000,IF(D199="c",K199/5000)))/H199</f>
        <v>0.2384</v>
      </c>
    </row>
    <row r="200" spans="1:15" x14ac:dyDescent="0.3">
      <c r="A200" s="1" t="s">
        <v>415</v>
      </c>
      <c r="B200" s="26" t="s">
        <v>416</v>
      </c>
      <c r="C200" s="27" t="s">
        <v>63</v>
      </c>
      <c r="D200" s="27" t="s">
        <v>21</v>
      </c>
      <c r="E200" s="28">
        <v>45855</v>
      </c>
      <c r="F200" s="29">
        <v>7</v>
      </c>
      <c r="H200" s="30">
        <v>1</v>
      </c>
      <c r="I200" s="31">
        <v>32489.35</v>
      </c>
      <c r="J200" s="31">
        <v>55</v>
      </c>
      <c r="K200" s="31">
        <v>55</v>
      </c>
      <c r="L200" s="31">
        <v>25460.52</v>
      </c>
      <c r="M200" s="31">
        <v>3000000</v>
      </c>
      <c r="N200" s="32">
        <f>IFERROR(L200/I200,"")</f>
        <v>0.78365741389101351</v>
      </c>
      <c r="O200" s="32">
        <f>IF(D200="a",K200/25000,IF(D200="b",K200/15000,IF(D200="c",K200/5000)))/H200</f>
        <v>1.0999999999999999E-2</v>
      </c>
    </row>
    <row r="201" spans="1:15" x14ac:dyDescent="0.3">
      <c r="A201" s="39" t="s">
        <v>311</v>
      </c>
      <c r="B201" s="26" t="s">
        <v>312</v>
      </c>
      <c r="C201" s="27" t="s">
        <v>63</v>
      </c>
      <c r="D201" s="27" t="s">
        <v>21</v>
      </c>
      <c r="E201" s="28">
        <v>45785</v>
      </c>
      <c r="F201" s="29">
        <v>5</v>
      </c>
      <c r="H201" s="30">
        <v>1</v>
      </c>
      <c r="I201" s="31">
        <v>337625.00999999995</v>
      </c>
      <c r="J201" s="31">
        <v>1374</v>
      </c>
      <c r="K201" s="31">
        <v>1374</v>
      </c>
      <c r="L201" s="31">
        <v>338047.42000000004</v>
      </c>
      <c r="M201" s="31">
        <v>3000000</v>
      </c>
      <c r="N201" s="32">
        <f>IFERROR(L201/I201,"")</f>
        <v>1.001251121769682</v>
      </c>
      <c r="O201" s="32">
        <f>IF(D201="a",K201/25000,IF(D201="b",K201/15000,IF(D201="c",K201/5000)))/H201</f>
        <v>0.27479999999999999</v>
      </c>
    </row>
    <row r="202" spans="1:15" x14ac:dyDescent="0.3">
      <c r="A202" s="1" t="s">
        <v>329</v>
      </c>
      <c r="B202" s="26" t="s">
        <v>330</v>
      </c>
      <c r="C202" s="27" t="s">
        <v>63</v>
      </c>
      <c r="D202" s="27" t="s">
        <v>21</v>
      </c>
      <c r="E202" s="28">
        <v>45785</v>
      </c>
      <c r="F202" s="29">
        <v>5</v>
      </c>
      <c r="H202" s="30">
        <v>1</v>
      </c>
      <c r="I202" s="31">
        <v>18362.38</v>
      </c>
      <c r="J202" s="31">
        <v>56</v>
      </c>
      <c r="K202" s="31">
        <v>56</v>
      </c>
      <c r="L202" s="31">
        <v>20749.500000000004</v>
      </c>
      <c r="M202" s="31">
        <v>3000000</v>
      </c>
      <c r="N202" s="32">
        <f>IFERROR(L202/I202,"")</f>
        <v>1.130000577267217</v>
      </c>
      <c r="O202" s="32">
        <f>IF(D202="a",K202/25000,IF(D202="b",K202/15000,IF(D202="c",K202/5000)))/H202</f>
        <v>1.12E-2</v>
      </c>
    </row>
    <row r="203" spans="1:15" x14ac:dyDescent="0.3">
      <c r="A203" s="1" t="s">
        <v>409</v>
      </c>
      <c r="B203" s="26" t="s">
        <v>410</v>
      </c>
      <c r="C203" s="27" t="s">
        <v>63</v>
      </c>
      <c r="D203" s="27" t="s">
        <v>21</v>
      </c>
      <c r="E203" s="28">
        <v>45849</v>
      </c>
      <c r="F203" s="29">
        <v>7</v>
      </c>
      <c r="H203" s="30">
        <v>1</v>
      </c>
      <c r="I203" s="31">
        <v>232244.39000000013</v>
      </c>
      <c r="J203" s="31">
        <v>759</v>
      </c>
      <c r="K203" s="31">
        <v>754</v>
      </c>
      <c r="L203" s="31">
        <v>264974.37</v>
      </c>
      <c r="M203" s="31">
        <v>3000000</v>
      </c>
      <c r="N203" s="32">
        <f>IFERROR(L203/I203,"")</f>
        <v>1.1409290446154581</v>
      </c>
      <c r="O203" s="32">
        <f>IF(D203="a",K203/25000,IF(D203="b",K203/15000,IF(D203="c",K203/5000)))/H203</f>
        <v>0.15079999999999999</v>
      </c>
    </row>
    <row r="204" spans="1:15" x14ac:dyDescent="0.3">
      <c r="B204" s="26" t="s">
        <v>429</v>
      </c>
      <c r="C204" s="27" t="s">
        <v>56</v>
      </c>
      <c r="D204" s="27" t="s">
        <v>21</v>
      </c>
      <c r="E204" s="28">
        <v>45916</v>
      </c>
      <c r="F204" s="29">
        <v>9</v>
      </c>
      <c r="H204" s="30">
        <v>1</v>
      </c>
      <c r="I204" s="34">
        <v>1798290.5599999966</v>
      </c>
      <c r="J204" s="34">
        <v>5047</v>
      </c>
      <c r="K204" s="34">
        <v>5036</v>
      </c>
      <c r="L204" s="31">
        <v>2032067.8800000001</v>
      </c>
      <c r="M204" s="31">
        <v>3000000</v>
      </c>
      <c r="N204" s="32">
        <f>IFERROR(L204/I204,"")</f>
        <v>1.1299997482053201</v>
      </c>
      <c r="O204" s="32">
        <f>IF(D204="a",K204/25000,IF(D204="b",K204/15000,IF(D204="c",K204/5000)))/H204</f>
        <v>1.0072000000000001</v>
      </c>
    </row>
    <row r="205" spans="1:15" x14ac:dyDescent="0.3">
      <c r="A205" s="1" t="s">
        <v>361</v>
      </c>
      <c r="B205" s="26" t="s">
        <v>362</v>
      </c>
      <c r="C205" s="27" t="s">
        <v>63</v>
      </c>
      <c r="D205" s="27" t="s">
        <v>21</v>
      </c>
      <c r="E205" s="28">
        <v>45833</v>
      </c>
      <c r="F205" s="29">
        <v>6</v>
      </c>
      <c r="H205" s="30">
        <v>1</v>
      </c>
      <c r="I205" s="31">
        <v>470008.77</v>
      </c>
      <c r="J205" s="31">
        <v>1479</v>
      </c>
      <c r="K205" s="31">
        <v>1479</v>
      </c>
      <c r="L205" s="31">
        <v>388227</v>
      </c>
      <c r="M205" s="31">
        <v>3000000</v>
      </c>
      <c r="N205" s="32">
        <f>IFERROR(L205/I205,"")</f>
        <v>0.8259994808181983</v>
      </c>
      <c r="O205" s="32">
        <f>IF(D205="a",K205/25000,IF(D205="b",K205/15000,IF(D205="c",K205/5000)))/H205</f>
        <v>0.29580000000000001</v>
      </c>
    </row>
    <row r="206" spans="1:15" x14ac:dyDescent="0.3">
      <c r="A206" s="1" t="s">
        <v>170</v>
      </c>
      <c r="B206" s="26" t="s">
        <v>171</v>
      </c>
      <c r="C206" s="27" t="s">
        <v>63</v>
      </c>
      <c r="D206" s="27" t="s">
        <v>21</v>
      </c>
      <c r="E206" s="28">
        <v>45740</v>
      </c>
      <c r="F206" s="29">
        <v>3</v>
      </c>
      <c r="H206" s="30">
        <v>1</v>
      </c>
      <c r="I206" s="31">
        <v>21000.579999999816</v>
      </c>
      <c r="J206" s="31">
        <v>70</v>
      </c>
      <c r="K206" s="31">
        <v>70</v>
      </c>
      <c r="L206" s="31">
        <v>23730.9</v>
      </c>
      <c r="M206" s="31">
        <v>3000000</v>
      </c>
      <c r="N206" s="32">
        <f>IFERROR(L206/I206,"")</f>
        <v>1.1300116472973702</v>
      </c>
      <c r="O206" s="32">
        <f>IF(D206="a",K206/25000,IF(D206="b",K206/15000,IF(D206="c",K206/5000)))/H206</f>
        <v>1.4E-2</v>
      </c>
    </row>
    <row r="207" spans="1:15" x14ac:dyDescent="0.3">
      <c r="A207" s="1" t="s">
        <v>178</v>
      </c>
      <c r="B207" s="26" t="s">
        <v>179</v>
      </c>
      <c r="C207" s="27" t="s">
        <v>27</v>
      </c>
      <c r="D207" s="27" t="s">
        <v>21</v>
      </c>
      <c r="E207" s="28">
        <v>45769</v>
      </c>
      <c r="F207" s="29">
        <v>4</v>
      </c>
      <c r="H207" s="30">
        <v>1</v>
      </c>
      <c r="I207" s="31">
        <v>2676276.2199999979</v>
      </c>
      <c r="J207" s="31">
        <v>8453</v>
      </c>
      <c r="K207" s="31">
        <v>7541</v>
      </c>
      <c r="L207" s="31">
        <v>3032736.99</v>
      </c>
      <c r="M207" s="31">
        <v>4000000</v>
      </c>
      <c r="N207" s="32">
        <f>IFERROR(L207/I207,"")</f>
        <v>1.1331928174439343</v>
      </c>
      <c r="O207" s="32">
        <f>IF(D207="a",K207/25000,IF(D207="b",K207/15000,IF(D207="c",K207/5000)))/H207</f>
        <v>1.5082</v>
      </c>
    </row>
    <row r="208" spans="1:15" x14ac:dyDescent="0.3">
      <c r="A208" s="1" t="s">
        <v>101</v>
      </c>
      <c r="B208" s="26" t="s">
        <v>102</v>
      </c>
      <c r="C208" s="27" t="s">
        <v>20</v>
      </c>
      <c r="D208" s="27" t="s">
        <v>21</v>
      </c>
      <c r="E208" s="28">
        <v>45739</v>
      </c>
      <c r="F208" s="29">
        <v>3</v>
      </c>
      <c r="H208" s="30">
        <v>1</v>
      </c>
      <c r="I208" s="31">
        <v>1555144.8499999994</v>
      </c>
      <c r="J208" s="31">
        <v>4126</v>
      </c>
      <c r="K208" s="31">
        <v>3729</v>
      </c>
      <c r="L208" s="31">
        <v>1799777.66</v>
      </c>
      <c r="M208" s="31">
        <v>3018000</v>
      </c>
      <c r="N208" s="32">
        <f>IFERROR(L208/I208,"")</f>
        <v>1.1573054818655641</v>
      </c>
      <c r="O208" s="32">
        <f>IF(D208="a",K208/25000,IF(D208="b",K208/15000,IF(D208="c",K208/5000)))/H208</f>
        <v>0.74580000000000002</v>
      </c>
    </row>
    <row r="209" spans="1:15" x14ac:dyDescent="0.3">
      <c r="B209" s="26" t="s">
        <v>441</v>
      </c>
      <c r="C209" s="27" t="s">
        <v>431</v>
      </c>
      <c r="D209" s="27" t="s">
        <v>21</v>
      </c>
      <c r="E209" s="28">
        <v>45951</v>
      </c>
      <c r="F209" s="29">
        <v>10</v>
      </c>
      <c r="H209" s="30">
        <v>1</v>
      </c>
      <c r="I209" s="34">
        <v>1016925.9799999996</v>
      </c>
      <c r="J209" s="34">
        <v>3251</v>
      </c>
      <c r="K209" s="34">
        <v>2972</v>
      </c>
      <c r="L209" s="31">
        <v>1150699.6200000001</v>
      </c>
      <c r="M209" s="31">
        <v>2500000</v>
      </c>
      <c r="N209" s="32">
        <f>IFERROR(L209/I209,"")</f>
        <v>1.1315470768088751</v>
      </c>
      <c r="O209" s="32">
        <f>IF(D209="a",K209/25000,IF(D209="b",K209/15000,IF(D209="c",K209/5000)))/H209</f>
        <v>0.59440000000000004</v>
      </c>
    </row>
    <row r="210" spans="1:15" x14ac:dyDescent="0.3">
      <c r="A210" s="1" t="s">
        <v>327</v>
      </c>
      <c r="B210" s="26" t="s">
        <v>328</v>
      </c>
      <c r="C210" s="27" t="s">
        <v>27</v>
      </c>
      <c r="D210" s="27" t="s">
        <v>21</v>
      </c>
      <c r="E210" s="28">
        <v>45784</v>
      </c>
      <c r="F210" s="29">
        <v>5</v>
      </c>
      <c r="H210" s="30">
        <v>1</v>
      </c>
      <c r="I210" s="31">
        <v>190022.25999999995</v>
      </c>
      <c r="J210" s="31">
        <v>567</v>
      </c>
      <c r="K210" s="31">
        <v>567</v>
      </c>
      <c r="L210" s="31">
        <v>214725.05</v>
      </c>
      <c r="M210" s="31">
        <v>3000000</v>
      </c>
      <c r="N210" s="32">
        <f>IFERROR(L210/I210,"")</f>
        <v>1.1299994537482085</v>
      </c>
      <c r="O210" s="32">
        <f>IF(D210="a",K210/25000,IF(D210="b",K210/15000,IF(D210="c",K210/5000)))/H210</f>
        <v>0.1134</v>
      </c>
    </row>
    <row r="211" spans="1:15" x14ac:dyDescent="0.3">
      <c r="A211" s="1" t="s">
        <v>393</v>
      </c>
      <c r="B211" s="26" t="s">
        <v>394</v>
      </c>
      <c r="C211" s="27" t="s">
        <v>34</v>
      </c>
      <c r="D211" s="27" t="s">
        <v>21</v>
      </c>
      <c r="E211" s="28">
        <v>45854</v>
      </c>
      <c r="F211" s="29">
        <v>7</v>
      </c>
      <c r="H211" s="30">
        <v>1</v>
      </c>
      <c r="I211" s="31">
        <v>1012132.5099999999</v>
      </c>
      <c r="J211" s="31">
        <v>3416</v>
      </c>
      <c r="K211" s="31">
        <v>3413</v>
      </c>
      <c r="L211" s="31">
        <v>1136303.6300000001</v>
      </c>
      <c r="M211" s="31">
        <v>2203119.31</v>
      </c>
      <c r="N211" s="32">
        <f>IFERROR(L211/I211,"")</f>
        <v>1.1226826712640623</v>
      </c>
      <c r="O211" s="32">
        <f>IF(D211="a",K211/25000,IF(D211="b",K211/15000,IF(D211="c",K211/5000)))/H211</f>
        <v>0.68259999999999998</v>
      </c>
    </row>
    <row r="212" spans="1:15" x14ac:dyDescent="0.3">
      <c r="A212" s="1" t="s">
        <v>337</v>
      </c>
      <c r="B212" s="26" t="s">
        <v>338</v>
      </c>
      <c r="C212" s="27" t="s">
        <v>34</v>
      </c>
      <c r="D212" s="27" t="s">
        <v>21</v>
      </c>
      <c r="E212" s="28">
        <v>45828</v>
      </c>
      <c r="F212" s="29">
        <v>6</v>
      </c>
      <c r="H212" s="30">
        <v>1</v>
      </c>
      <c r="I212" s="31">
        <v>1894715.1900000018</v>
      </c>
      <c r="J212" s="31">
        <v>6324</v>
      </c>
      <c r="K212" s="31">
        <v>5727</v>
      </c>
      <c r="L212" s="31">
        <v>2138950.1399999997</v>
      </c>
      <c r="M212" s="31">
        <v>3000000</v>
      </c>
      <c r="N212" s="32">
        <f>IFERROR(L212/I212,"")</f>
        <v>1.12890325220858</v>
      </c>
      <c r="O212" s="32">
        <f>IF(D212="a",K212/25000,IF(D212="b",K212/15000,IF(D212="c",K212/5000)))/H212</f>
        <v>1.1454</v>
      </c>
    </row>
    <row r="213" spans="1:15" x14ac:dyDescent="0.3">
      <c r="A213" s="1" t="s">
        <v>385</v>
      </c>
      <c r="B213" s="26" t="s">
        <v>386</v>
      </c>
      <c r="C213" s="27" t="s">
        <v>34</v>
      </c>
      <c r="D213" s="27" t="s">
        <v>21</v>
      </c>
      <c r="E213" s="28">
        <v>45842</v>
      </c>
      <c r="F213" s="29">
        <v>7</v>
      </c>
      <c r="H213" s="30">
        <v>1</v>
      </c>
      <c r="I213" s="31">
        <v>1800301.8499999989</v>
      </c>
      <c r="J213" s="31">
        <v>5581</v>
      </c>
      <c r="K213" s="31">
        <v>5002</v>
      </c>
      <c r="L213" s="31">
        <v>2030904.9100000001</v>
      </c>
      <c r="M213" s="31">
        <v>3084760.13</v>
      </c>
      <c r="N213" s="32">
        <f>IFERROR(L213/I213,"")</f>
        <v>1.1280913309065372</v>
      </c>
      <c r="O213" s="32">
        <f>IF(D213="a",K213/25000,IF(D213="b",K213/15000,IF(D213="c",K213/5000)))/H213</f>
        <v>1.0004</v>
      </c>
    </row>
    <row r="214" spans="1:15" x14ac:dyDescent="0.3">
      <c r="A214" s="1" t="s">
        <v>299</v>
      </c>
      <c r="B214" s="26" t="s">
        <v>300</v>
      </c>
      <c r="C214" s="27" t="s">
        <v>27</v>
      </c>
      <c r="D214" s="27" t="s">
        <v>21</v>
      </c>
      <c r="E214" s="28">
        <v>45797</v>
      </c>
      <c r="F214" s="29">
        <v>5</v>
      </c>
      <c r="H214" s="30">
        <v>1</v>
      </c>
      <c r="I214" s="31">
        <v>681214.92000000027</v>
      </c>
      <c r="J214" s="31">
        <v>2228</v>
      </c>
      <c r="K214" s="31">
        <v>2123</v>
      </c>
      <c r="L214" s="31">
        <v>841063.27</v>
      </c>
      <c r="M214" s="31">
        <v>3496939.38</v>
      </c>
      <c r="N214" s="32">
        <f>IFERROR(L214/I214,"")</f>
        <v>1.234651862880513</v>
      </c>
      <c r="O214" s="32">
        <f>IF(D214="a",K214/25000,IF(D214="b",K214/15000,IF(D214="c",K214/5000)))/H214</f>
        <v>0.42459999999999998</v>
      </c>
    </row>
    <row r="215" spans="1:15" x14ac:dyDescent="0.3">
      <c r="A215" s="1" t="s">
        <v>145</v>
      </c>
      <c r="B215" s="26" t="s">
        <v>146</v>
      </c>
      <c r="C215" s="27" t="s">
        <v>111</v>
      </c>
      <c r="D215" s="27" t="s">
        <v>21</v>
      </c>
      <c r="E215" s="28">
        <v>45740</v>
      </c>
      <c r="F215" s="29">
        <v>3</v>
      </c>
      <c r="H215" s="30">
        <v>1</v>
      </c>
      <c r="I215" s="31">
        <v>877069.69000000134</v>
      </c>
      <c r="J215" s="31">
        <v>2434</v>
      </c>
      <c r="K215" s="31">
        <v>2433</v>
      </c>
      <c r="L215" s="31">
        <v>993365.07000000007</v>
      </c>
      <c r="M215" s="31">
        <v>1850000</v>
      </c>
      <c r="N215" s="32">
        <f>IFERROR(L215/I215,"")</f>
        <v>1.1325953699300664</v>
      </c>
      <c r="O215" s="32">
        <f>IF(D215="a",K215/25000,IF(D215="b",K215/15000,IF(D215="c",K215/5000)))/H215</f>
        <v>0.48659999999999998</v>
      </c>
    </row>
    <row r="216" spans="1:15" x14ac:dyDescent="0.3">
      <c r="A216" s="1" t="s">
        <v>297</v>
      </c>
      <c r="B216" s="26" t="s">
        <v>298</v>
      </c>
      <c r="C216" s="27" t="s">
        <v>24</v>
      </c>
      <c r="D216" s="27" t="s">
        <v>21</v>
      </c>
      <c r="E216" s="28">
        <v>45783</v>
      </c>
      <c r="F216" s="29">
        <v>5</v>
      </c>
      <c r="H216" s="30">
        <v>1</v>
      </c>
      <c r="I216" s="31">
        <v>695284.17999999993</v>
      </c>
      <c r="J216" s="31">
        <v>2335</v>
      </c>
      <c r="K216" s="31">
        <v>2334</v>
      </c>
      <c r="L216" s="31">
        <v>902976.64999999991</v>
      </c>
      <c r="M216" s="31">
        <v>3600000</v>
      </c>
      <c r="N216" s="32">
        <f>IFERROR(L216/I216,"")</f>
        <v>1.2987159437454769</v>
      </c>
      <c r="O216" s="32">
        <f>IF(D216="a",K216/25000,IF(D216="b",K216/15000,IF(D216="c",K216/5000)))/H216</f>
        <v>0.46679999999999999</v>
      </c>
    </row>
    <row r="217" spans="1:15" x14ac:dyDescent="0.3">
      <c r="B217" s="26" t="s">
        <v>425</v>
      </c>
      <c r="C217" s="27" t="s">
        <v>24</v>
      </c>
      <c r="D217" s="27" t="s">
        <v>21</v>
      </c>
      <c r="E217" s="28">
        <v>45895</v>
      </c>
      <c r="F217" s="29">
        <v>8</v>
      </c>
      <c r="H217" s="30">
        <v>1</v>
      </c>
      <c r="I217" s="31">
        <v>414772.37</v>
      </c>
      <c r="J217" s="31">
        <v>1314</v>
      </c>
      <c r="K217" s="31">
        <v>1313</v>
      </c>
      <c r="L217" s="31">
        <v>527279.32999999996</v>
      </c>
      <c r="M217" s="31">
        <v>3000000</v>
      </c>
      <c r="N217" s="32">
        <f>IFERROR(L217/I217,"")</f>
        <v>1.2712498906327825</v>
      </c>
      <c r="O217" s="32">
        <f>IF(D217="a",K217/25000,IF(D217="b",K217/15000,IF(D217="c",K217/5000)))/H217</f>
        <v>0.2626</v>
      </c>
    </row>
    <row r="218" spans="1:15" x14ac:dyDescent="0.3">
      <c r="A218" s="1" t="s">
        <v>223</v>
      </c>
      <c r="B218" s="26" t="s">
        <v>224</v>
      </c>
      <c r="C218" s="27" t="s">
        <v>24</v>
      </c>
      <c r="D218" s="27" t="s">
        <v>21</v>
      </c>
      <c r="E218" s="28">
        <v>45748</v>
      </c>
      <c r="F218" s="29">
        <v>4</v>
      </c>
      <c r="G218" s="28">
        <v>46472</v>
      </c>
      <c r="H218" s="30">
        <v>2</v>
      </c>
      <c r="I218" s="31">
        <v>2198249.9799999995</v>
      </c>
      <c r="J218" s="31">
        <v>6943</v>
      </c>
      <c r="K218" s="31">
        <v>6737</v>
      </c>
      <c r="L218" s="31">
        <v>2448007.5</v>
      </c>
      <c r="M218" s="31">
        <v>4326237.33</v>
      </c>
      <c r="N218" s="32">
        <f>IFERROR(L218/I218,"")</f>
        <v>1.113616523267295</v>
      </c>
      <c r="O218" s="32">
        <f>IF(D218="a",K218/25000,IF(D218="b",K218/15000,IF(D218="c",K218/5000)))/H218</f>
        <v>0.67369999999999997</v>
      </c>
    </row>
    <row r="219" spans="1:15" x14ac:dyDescent="0.3">
      <c r="A219" s="1" t="s">
        <v>194</v>
      </c>
      <c r="B219" s="26" t="s">
        <v>195</v>
      </c>
      <c r="C219" s="27" t="s">
        <v>24</v>
      </c>
      <c r="D219" s="27" t="s">
        <v>21</v>
      </c>
      <c r="E219" s="28">
        <v>45775</v>
      </c>
      <c r="F219" s="29">
        <v>4</v>
      </c>
      <c r="H219" s="30">
        <v>1</v>
      </c>
      <c r="I219" s="31">
        <v>1927133.8000000007</v>
      </c>
      <c r="J219" s="31">
        <v>6736</v>
      </c>
      <c r="K219" s="31">
        <v>6171</v>
      </c>
      <c r="L219" s="31">
        <v>2177659.2899999996</v>
      </c>
      <c r="M219" s="31">
        <v>3000000</v>
      </c>
      <c r="N219" s="32">
        <f>IFERROR(L219/I219,"")</f>
        <v>1.1299990120042516</v>
      </c>
      <c r="O219" s="32">
        <f>IF(D219="a",K219/25000,IF(D219="b",K219/15000,IF(D219="c",K219/5000)))/H219</f>
        <v>1.2342</v>
      </c>
    </row>
    <row r="220" spans="1:15" x14ac:dyDescent="0.3">
      <c r="A220" s="1" t="s">
        <v>383</v>
      </c>
      <c r="B220" s="26" t="s">
        <v>384</v>
      </c>
      <c r="C220" s="27" t="s">
        <v>24</v>
      </c>
      <c r="D220" s="27" t="s">
        <v>21</v>
      </c>
      <c r="E220" s="28">
        <v>45839</v>
      </c>
      <c r="F220" s="29">
        <v>7</v>
      </c>
      <c r="H220" s="30">
        <v>1</v>
      </c>
      <c r="I220" s="31">
        <v>1744794.2499999881</v>
      </c>
      <c r="J220" s="31">
        <v>5395</v>
      </c>
      <c r="K220" s="31">
        <v>5295</v>
      </c>
      <c r="L220" s="31">
        <v>1985505.43</v>
      </c>
      <c r="M220" s="31">
        <v>7560000</v>
      </c>
      <c r="N220" s="32">
        <f>IFERROR(L220/I220,"")</f>
        <v>1.1379596362149942</v>
      </c>
      <c r="O220" s="32">
        <f>IF(D220="a",K220/25000,IF(D220="b",K220/15000,IF(D220="c",K220/5000)))/H220</f>
        <v>1.0589999999999999</v>
      </c>
    </row>
    <row r="221" spans="1:15" x14ac:dyDescent="0.3">
      <c r="A221" s="1" t="s">
        <v>405</v>
      </c>
      <c r="B221" s="26" t="s">
        <v>406</v>
      </c>
      <c r="C221" s="27" t="s">
        <v>198</v>
      </c>
      <c r="D221" s="27" t="s">
        <v>21</v>
      </c>
      <c r="E221" s="28">
        <v>45839</v>
      </c>
      <c r="F221" s="29">
        <v>7</v>
      </c>
      <c r="H221" s="30">
        <v>1</v>
      </c>
      <c r="I221" s="31">
        <v>359292.94000000035</v>
      </c>
      <c r="J221" s="31">
        <v>1047</v>
      </c>
      <c r="K221" s="31">
        <v>1047</v>
      </c>
      <c r="L221" s="31">
        <v>396850.18</v>
      </c>
      <c r="M221" s="31">
        <v>3000000</v>
      </c>
      <c r="N221" s="32">
        <f>IFERROR(L221/I221,"")</f>
        <v>1.1045309713015781</v>
      </c>
      <c r="O221" s="32">
        <f>IF(D221="a",K221/25000,IF(D221="b",K221/15000,IF(D221="c",K221/5000)))/H221</f>
        <v>0.2094</v>
      </c>
    </row>
    <row r="222" spans="1:15" x14ac:dyDescent="0.3">
      <c r="A222" s="1" t="s">
        <v>307</v>
      </c>
      <c r="B222" s="26" t="s">
        <v>308</v>
      </c>
      <c r="C222" s="27" t="s">
        <v>56</v>
      </c>
      <c r="D222" s="27" t="s">
        <v>21</v>
      </c>
      <c r="E222" s="28">
        <v>45799</v>
      </c>
      <c r="F222" s="29">
        <v>5</v>
      </c>
      <c r="H222" s="30">
        <v>1</v>
      </c>
      <c r="I222" s="31">
        <v>532128.13000000129</v>
      </c>
      <c r="J222" s="31">
        <v>1511</v>
      </c>
      <c r="K222" s="31">
        <v>1511</v>
      </c>
      <c r="L222" s="31">
        <v>601304.31999999995</v>
      </c>
      <c r="M222" s="31">
        <v>3000000</v>
      </c>
      <c r="N222" s="32">
        <f>IFERROR(L222/I222,"")</f>
        <v>1.1299991225797412</v>
      </c>
      <c r="O222" s="32">
        <f>IF(D222="a",K222/25000,IF(D222="b",K222/15000,IF(D222="c",K222/5000)))/H222</f>
        <v>0.30220000000000002</v>
      </c>
    </row>
    <row r="223" spans="1:15" x14ac:dyDescent="0.3">
      <c r="A223" s="1" t="s">
        <v>245</v>
      </c>
      <c r="B223" s="26" t="s">
        <v>246</v>
      </c>
      <c r="C223" s="27" t="s">
        <v>56</v>
      </c>
      <c r="D223" s="27" t="s">
        <v>21</v>
      </c>
      <c r="E223" s="28">
        <v>45772</v>
      </c>
      <c r="F223" s="29">
        <v>4</v>
      </c>
      <c r="H223" s="30">
        <v>1</v>
      </c>
      <c r="I223" s="31">
        <v>504743.14999999979</v>
      </c>
      <c r="J223" s="31">
        <v>1162</v>
      </c>
      <c r="K223" s="31">
        <v>1162</v>
      </c>
      <c r="L223" s="31">
        <v>570359.51</v>
      </c>
      <c r="M223" s="31">
        <v>3000000</v>
      </c>
      <c r="N223" s="32">
        <f>IFERROR(L223/I223,"")</f>
        <v>1.1299995056891812</v>
      </c>
      <c r="O223" s="32">
        <f>IF(D223="a",K223/25000,IF(D223="b",K223/15000,IF(D223="c",K223/5000)))/H223</f>
        <v>0.2324</v>
      </c>
    </row>
    <row r="224" spans="1:15" x14ac:dyDescent="0.3">
      <c r="A224" s="1" t="s">
        <v>22</v>
      </c>
      <c r="B224" s="26" t="s">
        <v>23</v>
      </c>
      <c r="C224" s="27" t="s">
        <v>24</v>
      </c>
      <c r="D224" s="27" t="s">
        <v>21</v>
      </c>
      <c r="E224" s="28">
        <v>45709</v>
      </c>
      <c r="F224" s="29">
        <v>2</v>
      </c>
      <c r="H224" s="30">
        <v>1</v>
      </c>
      <c r="I224" s="31">
        <v>3117653.7099999972</v>
      </c>
      <c r="J224" s="31">
        <v>9893</v>
      </c>
      <c r="K224" s="31">
        <v>8823</v>
      </c>
      <c r="L224" s="31">
        <v>3522947.6100000003</v>
      </c>
      <c r="M224" s="31">
        <v>3522947.61</v>
      </c>
      <c r="N224" s="32">
        <f>IFERROR(L224/I224,"")</f>
        <v>1.1299996528479115</v>
      </c>
      <c r="O224" s="32">
        <f>IF(D224="a",K224/25000,IF(D224="b",K224/15000,IF(D224="c",K224/5000)))/H224</f>
        <v>1.7645999999999999</v>
      </c>
    </row>
    <row r="225" spans="1:15" x14ac:dyDescent="0.3">
      <c r="B225" s="26" t="s">
        <v>453</v>
      </c>
      <c r="C225" s="27" t="s">
        <v>24</v>
      </c>
      <c r="D225" s="27" t="s">
        <v>28</v>
      </c>
      <c r="E225" s="28">
        <v>46043</v>
      </c>
      <c r="F225" s="29" t="s">
        <v>451</v>
      </c>
      <c r="H225" s="30">
        <v>1</v>
      </c>
      <c r="I225" s="34">
        <v>1003029.8599999996</v>
      </c>
      <c r="J225" s="34">
        <v>4263</v>
      </c>
      <c r="K225" s="34">
        <v>4263</v>
      </c>
      <c r="L225" s="31">
        <v>1552934.0899999999</v>
      </c>
      <c r="M225" s="31">
        <v>9250000</v>
      </c>
      <c r="N225" s="32">
        <f>IFERROR(L225/I225,"")</f>
        <v>1.5482431300699266</v>
      </c>
      <c r="O225" s="32">
        <f>IF(D225="a",K225/25000,IF(D225="b",K225/15000,IF(D225="c",K225/5000)))/H225</f>
        <v>0.17052</v>
      </c>
    </row>
    <row r="226" spans="1:15" x14ac:dyDescent="0.3">
      <c r="A226" s="1" t="s">
        <v>25</v>
      </c>
      <c r="B226" s="26" t="s">
        <v>26</v>
      </c>
      <c r="C226" s="27" t="s">
        <v>27</v>
      </c>
      <c r="D226" s="27" t="s">
        <v>28</v>
      </c>
      <c r="E226" s="28">
        <v>45712</v>
      </c>
      <c r="F226" s="29">
        <v>2</v>
      </c>
      <c r="G226" s="28">
        <v>46445</v>
      </c>
      <c r="H226" s="30">
        <v>2</v>
      </c>
      <c r="I226" s="31">
        <v>22031143.940000046</v>
      </c>
      <c r="J226" s="31">
        <v>76887</v>
      </c>
      <c r="K226" s="31">
        <v>64891</v>
      </c>
      <c r="L226" s="31">
        <v>25023169.220000003</v>
      </c>
      <c r="M226" s="31">
        <v>31920000</v>
      </c>
      <c r="N226" s="32">
        <f>IFERROR(L226/I226,"")</f>
        <v>1.1358088934532171</v>
      </c>
      <c r="O226" s="32">
        <f>IF(D226="a",K226/25000,IF(D226="b",K226/15000,IF(D226="c",K226/5000)))/H226</f>
        <v>1.29782</v>
      </c>
    </row>
    <row r="227" spans="1:15" x14ac:dyDescent="0.3">
      <c r="A227" s="1" t="s">
        <v>133</v>
      </c>
      <c r="B227" s="26" t="s">
        <v>134</v>
      </c>
      <c r="C227" s="27" t="s">
        <v>27</v>
      </c>
      <c r="D227" s="27" t="s">
        <v>28</v>
      </c>
      <c r="E227" s="28">
        <v>45719</v>
      </c>
      <c r="F227" s="29">
        <v>3</v>
      </c>
      <c r="G227" s="28">
        <v>46308</v>
      </c>
      <c r="H227" s="30">
        <v>2</v>
      </c>
      <c r="I227" s="31">
        <v>9596655.9099999852</v>
      </c>
      <c r="J227" s="31">
        <v>31502</v>
      </c>
      <c r="K227" s="31">
        <v>28117</v>
      </c>
      <c r="L227" s="31">
        <v>11182667.099999998</v>
      </c>
      <c r="M227" s="31">
        <v>18250000</v>
      </c>
      <c r="N227" s="32">
        <f>IFERROR(L227/I227,"")</f>
        <v>1.1652670685365873</v>
      </c>
      <c r="O227" s="32">
        <f>IF(D227="a",K227/25000,IF(D227="b",K227/15000,IF(D227="c",K227/5000)))/H227</f>
        <v>0.56233999999999995</v>
      </c>
    </row>
    <row r="228" spans="1:15" x14ac:dyDescent="0.3">
      <c r="A228" s="1" t="s">
        <v>283</v>
      </c>
      <c r="B228" s="26" t="s">
        <v>284</v>
      </c>
      <c r="C228" s="27" t="s">
        <v>24</v>
      </c>
      <c r="D228" s="27" t="s">
        <v>21</v>
      </c>
      <c r="E228" s="28">
        <v>45783</v>
      </c>
      <c r="F228" s="29">
        <v>5</v>
      </c>
      <c r="H228" s="30">
        <v>1</v>
      </c>
      <c r="I228" s="31">
        <v>1475233.1299999994</v>
      </c>
      <c r="J228" s="31">
        <v>4007</v>
      </c>
      <c r="K228" s="31">
        <v>3626</v>
      </c>
      <c r="L228" s="31">
        <v>1663445.8</v>
      </c>
      <c r="M228" s="31">
        <v>3000000</v>
      </c>
      <c r="N228" s="32">
        <f>IFERROR(L228/I228,"")</f>
        <v>1.1275816453498442</v>
      </c>
      <c r="O228" s="32">
        <f>IF(D228="a",K228/25000,IF(D228="b",K228/15000,IF(D228="c",K228/5000)))/H228</f>
        <v>0.72519999999999996</v>
      </c>
    </row>
    <row r="229" spans="1:15" x14ac:dyDescent="0.3">
      <c r="B229" s="26" t="s">
        <v>462</v>
      </c>
      <c r="C229" s="27" t="s">
        <v>31</v>
      </c>
      <c r="D229" s="27" t="s">
        <v>35</v>
      </c>
      <c r="E229" s="28">
        <v>46107</v>
      </c>
      <c r="F229" s="29" t="s">
        <v>459</v>
      </c>
      <c r="H229" s="30">
        <v>1</v>
      </c>
      <c r="I229" s="34">
        <v>0</v>
      </c>
      <c r="J229" s="34">
        <v>510</v>
      </c>
      <c r="K229" s="34">
        <v>510</v>
      </c>
      <c r="L229" s="31">
        <v>0</v>
      </c>
      <c r="M229" s="34">
        <v>8000000</v>
      </c>
      <c r="N229" s="32" t="str">
        <f>IFERROR(L229/I229,"")</f>
        <v/>
      </c>
      <c r="O229" s="32">
        <f>IF(D229="a",K229/25000,IF(D229="b",K229/15000,IF(D229="c",K229/5000)))/H229</f>
        <v>3.4000000000000002E-2</v>
      </c>
    </row>
    <row r="230" spans="1:15" x14ac:dyDescent="0.3">
      <c r="A230" s="1" t="s">
        <v>413</v>
      </c>
      <c r="B230" s="26" t="s">
        <v>414</v>
      </c>
      <c r="C230" s="27" t="s">
        <v>159</v>
      </c>
      <c r="D230" s="27" t="s">
        <v>21</v>
      </c>
      <c r="E230" s="28">
        <v>45852</v>
      </c>
      <c r="F230" s="29">
        <v>7</v>
      </c>
      <c r="H230" s="30">
        <v>1</v>
      </c>
      <c r="I230" s="31">
        <v>81786.860000000015</v>
      </c>
      <c r="J230" s="31">
        <v>253</v>
      </c>
      <c r="K230" s="31">
        <v>253</v>
      </c>
      <c r="L230" s="31">
        <v>92967.44</v>
      </c>
      <c r="M230" s="31">
        <v>1678960</v>
      </c>
      <c r="N230" s="32">
        <f>IFERROR(L230/I230,"")</f>
        <v>1.1367038666113356</v>
      </c>
      <c r="O230" s="32">
        <f>IF(D230="a",K230/25000,IF(D230="b",K230/15000,IF(D230="c",K230/5000)))/H230</f>
        <v>5.0599999999999999E-2</v>
      </c>
    </row>
    <row r="231" spans="1:15" x14ac:dyDescent="0.3">
      <c r="A231" s="1" t="s">
        <v>351</v>
      </c>
      <c r="B231" s="26" t="s">
        <v>352</v>
      </c>
      <c r="C231" s="27" t="s">
        <v>198</v>
      </c>
      <c r="D231" s="27" t="s">
        <v>21</v>
      </c>
      <c r="E231" s="28">
        <v>45835</v>
      </c>
      <c r="F231" s="29">
        <v>6</v>
      </c>
      <c r="H231" s="30">
        <v>1</v>
      </c>
      <c r="I231" s="31">
        <v>772911.80000000016</v>
      </c>
      <c r="J231" s="31">
        <v>2523</v>
      </c>
      <c r="K231" s="31">
        <v>2523</v>
      </c>
      <c r="L231" s="31">
        <v>909712.85</v>
      </c>
      <c r="M231" s="31">
        <v>1850000</v>
      </c>
      <c r="N231" s="32">
        <f>IFERROR(L231/I231,"")</f>
        <v>1.1769943866816366</v>
      </c>
      <c r="O231" s="32">
        <f>IF(D231="a",K231/25000,IF(D231="b",K231/15000,IF(D231="c",K231/5000)))/H231</f>
        <v>0.50460000000000005</v>
      </c>
    </row>
    <row r="232" spans="1:15" x14ac:dyDescent="0.3">
      <c r="B232" s="26" t="s">
        <v>434</v>
      </c>
      <c r="C232" s="27" t="s">
        <v>159</v>
      </c>
      <c r="D232" s="27" t="s">
        <v>21</v>
      </c>
      <c r="E232" s="28">
        <v>45926</v>
      </c>
      <c r="F232" s="29">
        <v>9</v>
      </c>
      <c r="H232" s="30">
        <v>1</v>
      </c>
      <c r="I232" s="34">
        <v>543329.06999999983</v>
      </c>
      <c r="J232" s="34">
        <v>1723</v>
      </c>
      <c r="K232" s="34">
        <v>1704</v>
      </c>
      <c r="L232" s="31">
        <v>613961.44000000006</v>
      </c>
      <c r="M232" s="31">
        <v>3000000</v>
      </c>
      <c r="N232" s="32">
        <f>IFERROR(L232/I232,"")</f>
        <v>1.129999247049307</v>
      </c>
      <c r="O232" s="32">
        <f>IF(D232="a",K232/25000,IF(D232="b",K232/15000,IF(D232="c",K232/5000)))/H232</f>
        <v>0.34079999999999999</v>
      </c>
    </row>
    <row r="233" spans="1:15" x14ac:dyDescent="0.3">
      <c r="A233" s="1" t="s">
        <v>331</v>
      </c>
      <c r="B233" s="26" t="s">
        <v>332</v>
      </c>
      <c r="C233" s="27" t="s">
        <v>159</v>
      </c>
      <c r="D233" s="27" t="s">
        <v>21</v>
      </c>
      <c r="E233" s="28">
        <v>45791</v>
      </c>
      <c r="F233" s="29">
        <v>5</v>
      </c>
      <c r="H233" s="30">
        <v>1</v>
      </c>
      <c r="I233" s="31">
        <v>15896.000000000004</v>
      </c>
      <c r="J233" s="31">
        <v>44</v>
      </c>
      <c r="K233" s="31">
        <v>44</v>
      </c>
      <c r="L233" s="31">
        <v>17962.47</v>
      </c>
      <c r="M233" s="31">
        <v>3000000</v>
      </c>
      <c r="N233" s="32">
        <f>IFERROR(L233/I233,"")</f>
        <v>1.1299993709109208</v>
      </c>
      <c r="O233" s="32">
        <f>IF(D233="a",K233/25000,IF(D233="b",K233/15000,IF(D233="c",K233/5000)))/H233</f>
        <v>8.8000000000000005E-3</v>
      </c>
    </row>
    <row r="234" spans="1:15" x14ac:dyDescent="0.3">
      <c r="A234" s="1" t="s">
        <v>257</v>
      </c>
      <c r="B234" s="26" t="s">
        <v>258</v>
      </c>
      <c r="C234" s="27" t="s">
        <v>159</v>
      </c>
      <c r="D234" s="27" t="s">
        <v>21</v>
      </c>
      <c r="E234" s="28">
        <v>45763</v>
      </c>
      <c r="F234" s="29">
        <v>4</v>
      </c>
      <c r="H234" s="30">
        <v>1</v>
      </c>
      <c r="I234" s="31">
        <v>14739.769999999999</v>
      </c>
      <c r="J234" s="31">
        <v>52</v>
      </c>
      <c r="K234" s="31">
        <v>52</v>
      </c>
      <c r="L234" s="31">
        <v>16656</v>
      </c>
      <c r="M234" s="31">
        <v>1848700</v>
      </c>
      <c r="N234" s="32">
        <f>IFERROR(L234/I234,"")</f>
        <v>1.1300040638354603</v>
      </c>
      <c r="O234" s="32">
        <f>IF(D234="a",K234/25000,IF(D234="b",K234/15000,IF(D234="c",K234/5000)))/H234</f>
        <v>1.04E-2</v>
      </c>
    </row>
    <row r="235" spans="1:15" x14ac:dyDescent="0.3">
      <c r="A235" s="1" t="s">
        <v>325</v>
      </c>
      <c r="B235" s="26" t="s">
        <v>326</v>
      </c>
      <c r="C235" s="27" t="s">
        <v>159</v>
      </c>
      <c r="D235" s="27" t="s">
        <v>21</v>
      </c>
      <c r="E235" s="28">
        <v>45806</v>
      </c>
      <c r="F235" s="29">
        <v>5</v>
      </c>
      <c r="H235" s="30">
        <v>1</v>
      </c>
      <c r="I235" s="31">
        <v>270651.43000000081</v>
      </c>
      <c r="J235" s="31">
        <v>780</v>
      </c>
      <c r="K235" s="31">
        <v>780</v>
      </c>
      <c r="L235" s="31">
        <v>305836.06</v>
      </c>
      <c r="M235" s="31">
        <v>1848700</v>
      </c>
      <c r="N235" s="32">
        <f>IFERROR(L235/I235,"")</f>
        <v>1.1299997934612762</v>
      </c>
      <c r="O235" s="32">
        <f>IF(D235="a",K235/25000,IF(D235="b",K235/15000,IF(D235="c",K235/5000)))/H235</f>
        <v>0.156</v>
      </c>
    </row>
    <row r="236" spans="1:15" x14ac:dyDescent="0.3">
      <c r="A236" s="1" t="s">
        <v>255</v>
      </c>
      <c r="B236" s="26" t="s">
        <v>256</v>
      </c>
      <c r="C236" s="27" t="s">
        <v>159</v>
      </c>
      <c r="D236" s="27" t="s">
        <v>21</v>
      </c>
      <c r="E236" s="28">
        <v>45772</v>
      </c>
      <c r="F236" s="29">
        <v>4</v>
      </c>
      <c r="H236" s="30">
        <v>1</v>
      </c>
      <c r="I236" s="31">
        <v>103723.62999999998</v>
      </c>
      <c r="J236" s="31">
        <v>317</v>
      </c>
      <c r="K236" s="31">
        <v>317</v>
      </c>
      <c r="L236" s="31">
        <v>117207.58000000002</v>
      </c>
      <c r="M236" s="31">
        <v>3000000</v>
      </c>
      <c r="N236" s="32">
        <f>IFERROR(L236/I236,"")</f>
        <v>1.1299988247615327</v>
      </c>
      <c r="O236" s="32">
        <f>IF(D236="a",K236/25000,IF(D236="b",K236/15000,IF(D236="c",K236/5000)))/H236</f>
        <v>6.3399999999999998E-2</v>
      </c>
    </row>
    <row r="237" spans="1:15" x14ac:dyDescent="0.3">
      <c r="B237" s="26" t="s">
        <v>456</v>
      </c>
      <c r="C237" s="27" t="s">
        <v>31</v>
      </c>
      <c r="D237" s="27" t="s">
        <v>21</v>
      </c>
      <c r="E237" s="28">
        <v>46079</v>
      </c>
      <c r="F237" s="29" t="s">
        <v>455</v>
      </c>
      <c r="H237" s="30">
        <v>1</v>
      </c>
      <c r="I237" s="34">
        <v>0</v>
      </c>
      <c r="J237" s="34">
        <v>180</v>
      </c>
      <c r="K237" s="34">
        <v>180</v>
      </c>
      <c r="L237" s="31">
        <v>0</v>
      </c>
      <c r="M237" s="31">
        <v>3000000</v>
      </c>
      <c r="N237" s="32" t="str">
        <f>IFERROR(L237/I237,"")</f>
        <v/>
      </c>
      <c r="O237" s="32">
        <f>IF(D237="a",K237/25000,IF(D237="b",K237/15000,IF(D237="c",K237/5000)))/H237</f>
        <v>3.5999999999999997E-2</v>
      </c>
    </row>
    <row r="238" spans="1:15" x14ac:dyDescent="0.3">
      <c r="A238" s="1" t="s">
        <v>309</v>
      </c>
      <c r="B238" s="26" t="s">
        <v>310</v>
      </c>
      <c r="C238" s="27" t="s">
        <v>31</v>
      </c>
      <c r="D238" s="27" t="s">
        <v>21</v>
      </c>
      <c r="E238" s="28">
        <v>45806</v>
      </c>
      <c r="F238" s="29">
        <v>5</v>
      </c>
      <c r="H238" s="30">
        <v>1</v>
      </c>
      <c r="I238" s="31">
        <v>432984.14999999962</v>
      </c>
      <c r="J238" s="31">
        <v>1478</v>
      </c>
      <c r="K238" s="31">
        <v>1478</v>
      </c>
      <c r="L238" s="31">
        <v>550797.18000000005</v>
      </c>
      <c r="M238" s="31">
        <v>3000000</v>
      </c>
      <c r="N238" s="32">
        <f>IFERROR(L238/I238,"")</f>
        <v>1.2720954797075148</v>
      </c>
      <c r="O238" s="32">
        <f>IF(D238="a",K238/25000,IF(D238="b",K238/15000,IF(D238="c",K238/5000)))/H238</f>
        <v>0.29559999999999997</v>
      </c>
    </row>
  </sheetData>
  <autoFilter ref="A3:O238" xr:uid="{405A6DC8-D308-4B8E-882C-1845AE328F93}">
    <sortState xmlns:xlrd2="http://schemas.microsoft.com/office/spreadsheetml/2017/richdata2" ref="A4:O238">
      <sortCondition ref="B3:B238"/>
    </sortState>
  </autoFilter>
  <phoneticPr fontId="3" type="noConversion"/>
  <conditionalFormatting sqref="B4:B200">
    <cfRule type="duplicateValues" dxfId="2" priority="4"/>
  </conditionalFormatting>
  <conditionalFormatting sqref="B202:B1048576 B1:B3">
    <cfRule type="duplicateValues" dxfId="1" priority="5"/>
  </conditionalFormatting>
  <conditionalFormatting sqref="N1:O1 N2 N3:O3 N239:O1048576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{55A3B577-A2ED-4DD3-84D4-E22F43CAD38C}</x14:id>
        </ext>
      </extLst>
    </cfRule>
  </conditionalFormatting>
  <conditionalFormatting sqref="N1:O3 N239:O1048576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{1AA3320A-F086-4239-B672-487405E2FDCA}</x14:id>
        </ext>
      </extLst>
    </cfRule>
  </conditionalFormatting>
  <conditionalFormatting sqref="N4:O2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{BE0080A2-E83C-4DA9-B916-BCDADCF18D52}</x14:id>
        </ext>
      </extLst>
    </cfRule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{90A756E8-6408-4321-90B8-7E6E2D8E6AAB}</x14:id>
        </ext>
      </extLst>
    </cfRule>
  </conditionalFormatting>
  <conditionalFormatting sqref="N239:O1048576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{996F31B9-838C-47B0-AA27-075ADCA62F18}</x14:id>
        </ext>
      </extLst>
    </cfRule>
  </conditionalFormatting>
  <pageMargins left="0.25" right="0.25" top="0.75" bottom="0.75" header="0.3" footer="0.3"/>
  <pageSetup paperSize="9" scale="56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A3B577-A2ED-4DD3-84D4-E22F43CAD3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N1:O1 N2 N3:O3 N239:O1048576</xm:sqref>
        </x14:conditionalFormatting>
        <x14:conditionalFormatting xmlns:xm="http://schemas.microsoft.com/office/excel/2006/main">
          <x14:cfRule type="dataBar" id="{1AA3320A-F086-4239-B672-487405E2FD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N1:O3 N239:O1048576</xm:sqref>
        </x14:conditionalFormatting>
        <x14:conditionalFormatting xmlns:xm="http://schemas.microsoft.com/office/excel/2006/main">
          <x14:cfRule type="dataBar" id="{BE0080A2-E83C-4DA9-B916-BCDADCF18D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A756E8-6408-4321-90B8-7E6E2D8E6AA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N4:O238</xm:sqref>
        </x14:conditionalFormatting>
        <x14:conditionalFormatting xmlns:xm="http://schemas.microsoft.com/office/excel/2006/main">
          <x14:cfRule type="dataBar" id="{996F31B9-838C-47B0-AA27-075ADCA62F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N239:O1048576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298CA-07B8-469C-8272-21CF31E320C4}">
  <dimension ref="A1:P242"/>
  <sheetViews>
    <sheetView showGridLines="0" tabSelected="1" zoomScale="80" zoomScaleNormal="80" workbookViewId="0">
      <pane ySplit="4" topLeftCell="A80" activePane="bottomLeft" state="frozen"/>
      <selection pane="bottomLeft" activeCell="I20" sqref="I20"/>
    </sheetView>
  </sheetViews>
  <sheetFormatPr defaultRowHeight="16" x14ac:dyDescent="0.3"/>
  <cols>
    <col min="1" max="1" width="5" style="41" customWidth="1"/>
    <col min="2" max="2" width="26.1640625" style="86" customWidth="1"/>
    <col min="3" max="3" width="9.6640625" style="98" customWidth="1"/>
    <col min="4" max="4" width="25.58203125" style="88" customWidth="1"/>
    <col min="5" max="5" width="8.6640625" style="88" customWidth="1"/>
    <col min="6" max="6" width="9.83203125" style="89" customWidth="1"/>
    <col min="7" max="10" width="8.6640625" style="89" customWidth="1"/>
    <col min="11" max="11" width="8.6640625" style="88"/>
    <col min="12" max="12" width="8.6640625" style="99"/>
    <col min="13" max="13" width="8.6640625" style="41"/>
    <col min="14" max="14" width="7.6640625" style="41" customWidth="1"/>
    <col min="15" max="15" width="10.08203125" style="43" customWidth="1"/>
    <col min="16" max="16" width="9.83203125" style="41" bestFit="1" customWidth="1"/>
    <col min="17" max="16384" width="8.6640625" style="41"/>
  </cols>
  <sheetData>
    <row r="1" spans="2:16" x14ac:dyDescent="0.3">
      <c r="B1" s="40" t="s">
        <v>469</v>
      </c>
      <c r="C1" s="41"/>
      <c r="D1" s="41"/>
      <c r="E1" s="41"/>
      <c r="F1" s="42"/>
      <c r="G1" s="42"/>
      <c r="H1" s="42"/>
      <c r="I1" s="42"/>
      <c r="J1" s="42">
        <v>486</v>
      </c>
      <c r="K1" s="41"/>
      <c r="L1" s="41"/>
    </row>
    <row r="2" spans="2:16" s="57" customFormat="1" ht="35" customHeight="1" x14ac:dyDescent="0.3">
      <c r="B2" s="44" t="s">
        <v>470</v>
      </c>
      <c r="C2" s="45" t="s">
        <v>471</v>
      </c>
      <c r="D2" s="46" t="s">
        <v>472</v>
      </c>
      <c r="E2" s="46" t="s">
        <v>473</v>
      </c>
      <c r="F2" s="47" t="s">
        <v>474</v>
      </c>
      <c r="G2" s="48" t="s">
        <v>475</v>
      </c>
      <c r="H2" s="49"/>
      <c r="I2" s="50" t="s">
        <v>476</v>
      </c>
      <c r="J2" s="51"/>
      <c r="K2" s="52" t="s">
        <v>477</v>
      </c>
      <c r="L2" s="53"/>
      <c r="M2" s="54" t="s">
        <v>478</v>
      </c>
      <c r="N2" s="55"/>
      <c r="O2" s="56" t="s">
        <v>479</v>
      </c>
      <c r="P2" s="56" t="s">
        <v>480</v>
      </c>
    </row>
    <row r="3" spans="2:16" s="57" customFormat="1" ht="16" customHeight="1" x14ac:dyDescent="0.3">
      <c r="B3" s="58"/>
      <c r="C3" s="59"/>
      <c r="D3" s="60"/>
      <c r="E3" s="60"/>
      <c r="F3" s="61"/>
      <c r="G3" s="62" t="s">
        <v>481</v>
      </c>
      <c r="H3" s="62" t="s">
        <v>482</v>
      </c>
      <c r="I3" s="62" t="s">
        <v>481</v>
      </c>
      <c r="J3" s="62" t="s">
        <v>482</v>
      </c>
      <c r="K3" s="63" t="s">
        <v>481</v>
      </c>
      <c r="L3" s="64" t="s">
        <v>482</v>
      </c>
      <c r="M3" s="63" t="s">
        <v>481</v>
      </c>
      <c r="N3" s="64" t="s">
        <v>482</v>
      </c>
      <c r="O3" s="62" t="s">
        <v>483</v>
      </c>
      <c r="P3" s="62" t="s">
        <v>480</v>
      </c>
    </row>
    <row r="4" spans="2:16" s="74" customFormat="1" x14ac:dyDescent="0.3">
      <c r="B4" s="65" t="s">
        <v>484</v>
      </c>
      <c r="C4" s="66"/>
      <c r="D4" s="67"/>
      <c r="E4" s="67"/>
      <c r="F4" s="68">
        <v>283</v>
      </c>
      <c r="G4" s="69">
        <v>1450</v>
      </c>
      <c r="H4" s="69">
        <v>1076</v>
      </c>
      <c r="I4" s="69">
        <v>755</v>
      </c>
      <c r="J4" s="69">
        <v>243</v>
      </c>
      <c r="K4" s="70">
        <v>1120</v>
      </c>
      <c r="L4" s="71">
        <v>833</v>
      </c>
      <c r="M4" s="72">
        <v>0.52068965517241383</v>
      </c>
      <c r="N4" s="72">
        <v>0.2258364312267658</v>
      </c>
      <c r="O4" s="73">
        <v>11199</v>
      </c>
      <c r="P4" s="73">
        <v>55720</v>
      </c>
    </row>
    <row r="5" spans="2:16" s="74" customFormat="1" ht="17" x14ac:dyDescent="0.3">
      <c r="B5" s="75" t="s">
        <v>485</v>
      </c>
      <c r="C5" s="76"/>
      <c r="D5" s="77">
        <v>2</v>
      </c>
      <c r="E5" s="78"/>
      <c r="F5" s="79"/>
      <c r="G5" s="80"/>
      <c r="H5" s="80"/>
      <c r="I5" s="79">
        <v>100</v>
      </c>
      <c r="J5" s="80"/>
      <c r="K5" s="81"/>
      <c r="L5" s="82"/>
      <c r="M5" s="83"/>
      <c r="N5" s="83"/>
      <c r="O5" s="84"/>
      <c r="P5" s="85"/>
    </row>
    <row r="6" spans="2:16" s="74" customFormat="1" x14ac:dyDescent="0.3">
      <c r="B6" s="75" t="s">
        <v>486</v>
      </c>
      <c r="C6" s="76"/>
      <c r="D6" s="78"/>
      <c r="E6" s="78"/>
      <c r="F6" s="79"/>
      <c r="G6" s="80"/>
      <c r="H6" s="80"/>
      <c r="I6" s="79">
        <v>325</v>
      </c>
      <c r="J6" s="80"/>
      <c r="K6" s="81"/>
      <c r="L6" s="82"/>
      <c r="M6" s="83"/>
      <c r="N6" s="83"/>
      <c r="O6" s="84"/>
      <c r="P6" s="85"/>
    </row>
    <row r="7" spans="2:16" ht="14" customHeight="1" x14ac:dyDescent="0.3">
      <c r="B7" s="86" t="s">
        <v>487</v>
      </c>
      <c r="C7" s="87" t="s">
        <v>24</v>
      </c>
      <c r="D7" s="88" t="s">
        <v>29</v>
      </c>
      <c r="E7" s="89" t="s">
        <v>21</v>
      </c>
      <c r="F7" s="89">
        <v>1</v>
      </c>
      <c r="G7" s="90">
        <v>4</v>
      </c>
      <c r="H7" s="90">
        <v>2</v>
      </c>
      <c r="I7" s="90">
        <v>7</v>
      </c>
      <c r="J7" s="90">
        <v>0</v>
      </c>
      <c r="K7" s="90">
        <v>-3</v>
      </c>
      <c r="L7" s="91">
        <v>2</v>
      </c>
      <c r="M7" s="92">
        <v>1.75</v>
      </c>
      <c r="N7" s="92">
        <v>0</v>
      </c>
      <c r="O7" s="90">
        <v>80</v>
      </c>
      <c r="P7" s="93">
        <v>20</v>
      </c>
    </row>
    <row r="8" spans="2:16" x14ac:dyDescent="0.3">
      <c r="B8" s="86" t="s">
        <v>489</v>
      </c>
      <c r="C8" s="87" t="s">
        <v>63</v>
      </c>
      <c r="D8" s="88" t="s">
        <v>676</v>
      </c>
      <c r="E8" s="89" t="s">
        <v>21</v>
      </c>
      <c r="F8" s="89">
        <v>1</v>
      </c>
      <c r="G8" s="90">
        <v>4</v>
      </c>
      <c r="H8" s="90">
        <v>2</v>
      </c>
      <c r="I8" s="90">
        <v>0</v>
      </c>
      <c r="J8" s="90">
        <v>0</v>
      </c>
      <c r="K8" s="90">
        <v>4</v>
      </c>
      <c r="L8" s="91">
        <v>2</v>
      </c>
      <c r="M8" s="92">
        <v>0</v>
      </c>
      <c r="N8" s="92">
        <v>0</v>
      </c>
      <c r="O8" s="90">
        <v>0</v>
      </c>
      <c r="P8" s="93">
        <v>160</v>
      </c>
    </row>
    <row r="9" spans="2:16" x14ac:dyDescent="0.3">
      <c r="B9" s="86" t="s">
        <v>154</v>
      </c>
      <c r="C9" s="87" t="s">
        <v>24</v>
      </c>
      <c r="D9" s="88" t="s">
        <v>40</v>
      </c>
      <c r="E9" s="89" t="s">
        <v>35</v>
      </c>
      <c r="F9" s="89">
        <v>1</v>
      </c>
      <c r="G9" s="90">
        <v>6</v>
      </c>
      <c r="H9" s="90">
        <v>6</v>
      </c>
      <c r="I9" s="90">
        <v>0</v>
      </c>
      <c r="J9" s="90">
        <v>0</v>
      </c>
      <c r="K9" s="90">
        <v>6</v>
      </c>
      <c r="L9" s="91">
        <v>6</v>
      </c>
      <c r="M9" s="92">
        <v>0</v>
      </c>
      <c r="N9" s="92">
        <v>0</v>
      </c>
      <c r="O9" s="90">
        <v>0</v>
      </c>
      <c r="P9" s="93">
        <v>360</v>
      </c>
    </row>
    <row r="10" spans="2:16" x14ac:dyDescent="0.3">
      <c r="B10" s="86" t="s">
        <v>490</v>
      </c>
      <c r="C10" s="87" t="s">
        <v>34</v>
      </c>
      <c r="D10" s="88" t="s">
        <v>188</v>
      </c>
      <c r="E10" s="89" t="s">
        <v>35</v>
      </c>
      <c r="F10" s="89">
        <v>1</v>
      </c>
      <c r="G10" s="90">
        <v>6</v>
      </c>
      <c r="H10" s="90">
        <v>6</v>
      </c>
      <c r="I10" s="90">
        <v>1</v>
      </c>
      <c r="J10" s="90">
        <v>0</v>
      </c>
      <c r="K10" s="90">
        <v>5</v>
      </c>
      <c r="L10" s="91">
        <v>6</v>
      </c>
      <c r="M10" s="92">
        <v>0.16666666666666666</v>
      </c>
      <c r="N10" s="92">
        <v>0</v>
      </c>
      <c r="O10" s="90">
        <v>0</v>
      </c>
      <c r="P10" s="93">
        <v>340</v>
      </c>
    </row>
    <row r="11" spans="2:16" x14ac:dyDescent="0.3">
      <c r="B11" s="86" t="s">
        <v>492</v>
      </c>
      <c r="C11" s="87" t="s">
        <v>63</v>
      </c>
      <c r="D11" s="88" t="s">
        <v>677</v>
      </c>
      <c r="E11" s="89" t="s">
        <v>21</v>
      </c>
      <c r="F11" s="89">
        <v>1</v>
      </c>
      <c r="G11" s="90">
        <v>4</v>
      </c>
      <c r="H11" s="90">
        <v>2</v>
      </c>
      <c r="I11" s="90">
        <v>0</v>
      </c>
      <c r="J11" s="90">
        <v>0</v>
      </c>
      <c r="K11" s="90">
        <v>4</v>
      </c>
      <c r="L11" s="91">
        <v>2</v>
      </c>
      <c r="M11" s="92">
        <v>0</v>
      </c>
      <c r="N11" s="92">
        <v>0</v>
      </c>
      <c r="O11" s="90">
        <v>0</v>
      </c>
      <c r="P11" s="93">
        <v>160</v>
      </c>
    </row>
    <row r="12" spans="2:16" x14ac:dyDescent="0.3">
      <c r="B12" s="86" t="s">
        <v>493</v>
      </c>
      <c r="C12" s="87" t="s">
        <v>198</v>
      </c>
      <c r="D12" s="88" t="s">
        <v>44</v>
      </c>
      <c r="E12" s="89" t="s">
        <v>21</v>
      </c>
      <c r="F12" s="89">
        <v>1</v>
      </c>
      <c r="G12" s="90">
        <v>4</v>
      </c>
      <c r="H12" s="90">
        <v>2</v>
      </c>
      <c r="I12" s="90">
        <v>0</v>
      </c>
      <c r="J12" s="90">
        <v>0</v>
      </c>
      <c r="K12" s="90">
        <v>4</v>
      </c>
      <c r="L12" s="91">
        <v>2</v>
      </c>
      <c r="M12" s="92">
        <v>0</v>
      </c>
      <c r="N12" s="92">
        <v>0</v>
      </c>
      <c r="O12" s="90">
        <v>0</v>
      </c>
      <c r="P12" s="93">
        <v>160</v>
      </c>
    </row>
    <row r="13" spans="2:16" x14ac:dyDescent="0.3">
      <c r="B13" s="86" t="s">
        <v>495</v>
      </c>
      <c r="C13" s="87" t="s">
        <v>198</v>
      </c>
      <c r="D13" s="88" t="s">
        <v>18</v>
      </c>
      <c r="E13" s="89" t="s">
        <v>21</v>
      </c>
      <c r="F13" s="89">
        <v>1</v>
      </c>
      <c r="G13" s="90">
        <v>4</v>
      </c>
      <c r="H13" s="90">
        <v>2</v>
      </c>
      <c r="I13" s="90">
        <v>0</v>
      </c>
      <c r="J13" s="90">
        <v>0</v>
      </c>
      <c r="K13" s="90">
        <v>4</v>
      </c>
      <c r="L13" s="91">
        <v>2</v>
      </c>
      <c r="M13" s="92">
        <v>0</v>
      </c>
      <c r="N13" s="92">
        <v>0</v>
      </c>
      <c r="O13" s="90">
        <v>0</v>
      </c>
      <c r="P13" s="93">
        <v>160</v>
      </c>
    </row>
    <row r="14" spans="2:16" x14ac:dyDescent="0.3">
      <c r="B14" s="86" t="s">
        <v>222</v>
      </c>
      <c r="C14" s="87" t="s">
        <v>27</v>
      </c>
      <c r="D14" s="88" t="s">
        <v>48</v>
      </c>
      <c r="E14" s="89" t="s">
        <v>35</v>
      </c>
      <c r="F14" s="89">
        <v>1</v>
      </c>
      <c r="G14" s="90">
        <v>6</v>
      </c>
      <c r="H14" s="90">
        <v>6</v>
      </c>
      <c r="I14" s="90">
        <v>3</v>
      </c>
      <c r="J14" s="90">
        <v>0</v>
      </c>
      <c r="K14" s="90">
        <v>3</v>
      </c>
      <c r="L14" s="91">
        <v>6</v>
      </c>
      <c r="M14" s="92">
        <v>0.5</v>
      </c>
      <c r="N14" s="92">
        <v>0</v>
      </c>
      <c r="O14" s="90">
        <v>0</v>
      </c>
      <c r="P14" s="93">
        <v>300</v>
      </c>
    </row>
    <row r="15" spans="2:16" x14ac:dyDescent="0.3">
      <c r="B15" s="86" t="s">
        <v>175</v>
      </c>
      <c r="C15" s="87" t="s">
        <v>27</v>
      </c>
      <c r="D15" s="88" t="s">
        <v>32</v>
      </c>
      <c r="E15" s="94" t="s">
        <v>498</v>
      </c>
      <c r="F15" s="89">
        <v>1</v>
      </c>
      <c r="G15" s="90">
        <v>4</v>
      </c>
      <c r="H15" s="90">
        <v>2</v>
      </c>
      <c r="I15" s="90">
        <v>2</v>
      </c>
      <c r="J15" s="90">
        <v>2</v>
      </c>
      <c r="K15" s="90">
        <v>2</v>
      </c>
      <c r="L15" s="91">
        <v>0</v>
      </c>
      <c r="M15" s="92">
        <v>0.5</v>
      </c>
      <c r="N15" s="92">
        <v>1</v>
      </c>
      <c r="O15" s="90">
        <v>99</v>
      </c>
      <c r="P15" s="93">
        <v>40</v>
      </c>
    </row>
    <row r="16" spans="2:16" x14ac:dyDescent="0.3">
      <c r="B16" s="86" t="s">
        <v>499</v>
      </c>
      <c r="C16" s="87" t="s">
        <v>27</v>
      </c>
      <c r="D16" s="88" t="s">
        <v>42</v>
      </c>
      <c r="E16" s="89" t="s">
        <v>21</v>
      </c>
      <c r="F16" s="89">
        <v>1</v>
      </c>
      <c r="G16" s="90">
        <v>4</v>
      </c>
      <c r="H16" s="90">
        <v>2</v>
      </c>
      <c r="I16" s="90">
        <v>0</v>
      </c>
      <c r="J16" s="90">
        <v>0</v>
      </c>
      <c r="K16" s="90">
        <v>4</v>
      </c>
      <c r="L16" s="91">
        <v>2</v>
      </c>
      <c r="M16" s="92">
        <v>0</v>
      </c>
      <c r="N16" s="92">
        <v>0</v>
      </c>
      <c r="O16" s="90">
        <v>0</v>
      </c>
      <c r="P16" s="93">
        <v>160</v>
      </c>
    </row>
    <row r="17" spans="2:16" x14ac:dyDescent="0.3">
      <c r="B17" s="86" t="s">
        <v>501</v>
      </c>
      <c r="C17" s="87" t="s">
        <v>27</v>
      </c>
      <c r="D17" s="88" t="s">
        <v>22</v>
      </c>
      <c r="E17" s="89" t="s">
        <v>21</v>
      </c>
      <c r="F17" s="89">
        <v>1</v>
      </c>
      <c r="G17" s="90">
        <v>4</v>
      </c>
      <c r="H17" s="90">
        <v>2</v>
      </c>
      <c r="I17" s="90">
        <v>0</v>
      </c>
      <c r="J17" s="90">
        <v>0</v>
      </c>
      <c r="K17" s="90">
        <v>4</v>
      </c>
      <c r="L17" s="91">
        <v>2</v>
      </c>
      <c r="M17" s="92">
        <v>0</v>
      </c>
      <c r="N17" s="92">
        <v>0</v>
      </c>
      <c r="O17" s="90">
        <v>0</v>
      </c>
      <c r="P17" s="93">
        <v>160</v>
      </c>
    </row>
    <row r="18" spans="2:16" x14ac:dyDescent="0.3">
      <c r="B18" s="86" t="s">
        <v>503</v>
      </c>
      <c r="C18" s="87" t="s">
        <v>27</v>
      </c>
      <c r="D18" s="88" t="s">
        <v>50</v>
      </c>
      <c r="E18" s="89" t="s">
        <v>21</v>
      </c>
      <c r="F18" s="89">
        <v>2</v>
      </c>
      <c r="G18" s="90">
        <v>8</v>
      </c>
      <c r="H18" s="90">
        <v>4</v>
      </c>
      <c r="I18" s="90">
        <v>2</v>
      </c>
      <c r="J18" s="90">
        <v>2</v>
      </c>
      <c r="K18" s="90">
        <v>6</v>
      </c>
      <c r="L18" s="91">
        <v>2</v>
      </c>
      <c r="M18" s="92">
        <v>0.25</v>
      </c>
      <c r="N18" s="92">
        <v>0.5</v>
      </c>
      <c r="O18" s="90">
        <v>120</v>
      </c>
      <c r="P18" s="93">
        <v>200</v>
      </c>
    </row>
    <row r="19" spans="2:16" x14ac:dyDescent="0.3">
      <c r="B19" s="86" t="s">
        <v>504</v>
      </c>
      <c r="C19" s="87" t="s">
        <v>27</v>
      </c>
      <c r="D19" s="88" t="s">
        <v>46</v>
      </c>
      <c r="E19" s="89" t="s">
        <v>21</v>
      </c>
      <c r="F19" s="89">
        <v>1</v>
      </c>
      <c r="G19" s="90">
        <v>4</v>
      </c>
      <c r="H19" s="90">
        <v>2</v>
      </c>
      <c r="I19" s="90">
        <v>0</v>
      </c>
      <c r="J19" s="90">
        <v>0</v>
      </c>
      <c r="K19" s="90">
        <v>4</v>
      </c>
      <c r="L19" s="91">
        <v>2</v>
      </c>
      <c r="M19" s="92">
        <v>0</v>
      </c>
      <c r="N19" s="92">
        <v>0</v>
      </c>
      <c r="O19" s="90">
        <v>0</v>
      </c>
      <c r="P19" s="93">
        <v>160</v>
      </c>
    </row>
    <row r="20" spans="2:16" x14ac:dyDescent="0.3">
      <c r="B20" s="86" t="s">
        <v>169</v>
      </c>
      <c r="C20" s="87" t="s">
        <v>27</v>
      </c>
      <c r="D20" s="88" t="s">
        <v>25</v>
      </c>
      <c r="E20" s="89" t="s">
        <v>35</v>
      </c>
      <c r="F20" s="89">
        <v>1</v>
      </c>
      <c r="G20" s="90">
        <v>6</v>
      </c>
      <c r="H20" s="90">
        <v>6</v>
      </c>
      <c r="I20" s="90">
        <v>0</v>
      </c>
      <c r="J20" s="90">
        <v>0</v>
      </c>
      <c r="K20" s="90">
        <v>6</v>
      </c>
      <c r="L20" s="91">
        <v>6</v>
      </c>
      <c r="M20" s="92">
        <v>0</v>
      </c>
      <c r="N20" s="92">
        <v>0</v>
      </c>
      <c r="O20" s="90">
        <v>0</v>
      </c>
      <c r="P20" s="93">
        <v>360</v>
      </c>
    </row>
    <row r="21" spans="2:16" x14ac:dyDescent="0.3">
      <c r="B21" s="86" t="s">
        <v>506</v>
      </c>
      <c r="C21" s="87" t="s">
        <v>27</v>
      </c>
      <c r="D21" s="88" t="s">
        <v>54</v>
      </c>
      <c r="E21" s="89" t="s">
        <v>21</v>
      </c>
      <c r="F21" s="89">
        <v>1</v>
      </c>
      <c r="G21" s="90">
        <v>4</v>
      </c>
      <c r="H21" s="90">
        <v>2</v>
      </c>
      <c r="I21" s="90">
        <v>0</v>
      </c>
      <c r="J21" s="90">
        <v>0</v>
      </c>
      <c r="K21" s="90">
        <v>4</v>
      </c>
      <c r="L21" s="91">
        <v>2</v>
      </c>
      <c r="M21" s="92">
        <v>0</v>
      </c>
      <c r="N21" s="92">
        <v>0</v>
      </c>
      <c r="O21" s="90">
        <v>0</v>
      </c>
      <c r="P21" s="93">
        <v>160</v>
      </c>
    </row>
    <row r="22" spans="2:16" x14ac:dyDescent="0.3">
      <c r="B22" s="86" t="s">
        <v>508</v>
      </c>
      <c r="C22" s="87" t="s">
        <v>27</v>
      </c>
      <c r="D22" s="88" t="s">
        <v>52</v>
      </c>
      <c r="E22" s="89" t="s">
        <v>21</v>
      </c>
      <c r="F22" s="89">
        <v>1</v>
      </c>
      <c r="G22" s="90">
        <v>4</v>
      </c>
      <c r="H22" s="90">
        <v>2</v>
      </c>
      <c r="I22" s="90">
        <v>4</v>
      </c>
      <c r="J22" s="90">
        <v>2</v>
      </c>
      <c r="K22" s="90">
        <v>0</v>
      </c>
      <c r="L22" s="91">
        <v>0</v>
      </c>
      <c r="M22" s="92">
        <v>1</v>
      </c>
      <c r="N22" s="92">
        <v>1</v>
      </c>
      <c r="O22" s="90">
        <v>131</v>
      </c>
      <c r="P22" s="93">
        <v>0</v>
      </c>
    </row>
    <row r="23" spans="2:16" x14ac:dyDescent="0.3">
      <c r="B23" s="86" t="s">
        <v>510</v>
      </c>
      <c r="C23" s="87" t="s">
        <v>27</v>
      </c>
      <c r="D23" s="88" t="s">
        <v>678</v>
      </c>
      <c r="E23" s="89" t="s">
        <v>35</v>
      </c>
      <c r="F23" s="89">
        <v>1</v>
      </c>
      <c r="G23" s="90">
        <v>6</v>
      </c>
      <c r="H23" s="90">
        <v>6</v>
      </c>
      <c r="I23" s="90">
        <v>0</v>
      </c>
      <c r="J23" s="90">
        <v>0</v>
      </c>
      <c r="K23" s="90">
        <v>6</v>
      </c>
      <c r="L23" s="91">
        <v>6</v>
      </c>
      <c r="M23" s="92">
        <v>0</v>
      </c>
      <c r="N23" s="92">
        <v>0</v>
      </c>
      <c r="O23" s="90">
        <v>0</v>
      </c>
      <c r="P23" s="93">
        <v>360</v>
      </c>
    </row>
    <row r="24" spans="2:16" x14ac:dyDescent="0.3">
      <c r="B24" s="86" t="s">
        <v>181</v>
      </c>
      <c r="C24" s="87" t="s">
        <v>27</v>
      </c>
      <c r="D24" s="88" t="s">
        <v>38</v>
      </c>
      <c r="E24" s="89" t="s">
        <v>21</v>
      </c>
      <c r="F24" s="89">
        <v>2</v>
      </c>
      <c r="G24" s="90">
        <v>8</v>
      </c>
      <c r="H24" s="90">
        <v>4</v>
      </c>
      <c r="I24" s="90">
        <v>4</v>
      </c>
      <c r="J24" s="90">
        <v>3</v>
      </c>
      <c r="K24" s="90">
        <v>4</v>
      </c>
      <c r="L24" s="91">
        <v>1</v>
      </c>
      <c r="M24" s="92">
        <v>0.5</v>
      </c>
      <c r="N24" s="92">
        <v>0.75</v>
      </c>
      <c r="O24" s="90">
        <v>180</v>
      </c>
      <c r="P24" s="93">
        <v>120</v>
      </c>
    </row>
    <row r="25" spans="2:16" x14ac:dyDescent="0.3">
      <c r="B25" s="86" t="s">
        <v>512</v>
      </c>
      <c r="C25" s="87" t="s">
        <v>27</v>
      </c>
      <c r="D25" s="88" t="s">
        <v>168</v>
      </c>
      <c r="E25" s="89" t="s">
        <v>28</v>
      </c>
      <c r="F25" s="89">
        <v>2</v>
      </c>
      <c r="G25" s="90">
        <v>16</v>
      </c>
      <c r="H25" s="90">
        <v>16</v>
      </c>
      <c r="I25" s="90">
        <v>2</v>
      </c>
      <c r="J25" s="90">
        <v>0</v>
      </c>
      <c r="K25" s="90">
        <v>14</v>
      </c>
      <c r="L25" s="91">
        <v>16</v>
      </c>
      <c r="M25" s="92">
        <v>0.125</v>
      </c>
      <c r="N25" s="92">
        <v>0</v>
      </c>
      <c r="O25" s="90">
        <v>0</v>
      </c>
      <c r="P25" s="93">
        <v>920</v>
      </c>
    </row>
    <row r="26" spans="2:16" x14ac:dyDescent="0.3">
      <c r="B26" s="86" t="s">
        <v>513</v>
      </c>
      <c r="C26" s="87" t="s">
        <v>27</v>
      </c>
      <c r="D26" s="88" t="s">
        <v>74</v>
      </c>
      <c r="E26" s="89" t="s">
        <v>28</v>
      </c>
      <c r="F26" s="89">
        <v>2</v>
      </c>
      <c r="G26" s="90">
        <v>16</v>
      </c>
      <c r="H26" s="90">
        <v>16</v>
      </c>
      <c r="I26" s="90">
        <v>6</v>
      </c>
      <c r="J26" s="90">
        <v>6</v>
      </c>
      <c r="K26" s="90">
        <v>10</v>
      </c>
      <c r="L26" s="91">
        <v>10</v>
      </c>
      <c r="M26" s="92">
        <v>0.375</v>
      </c>
      <c r="N26" s="92">
        <v>0.375</v>
      </c>
      <c r="O26" s="90">
        <v>360</v>
      </c>
      <c r="P26" s="93">
        <v>600</v>
      </c>
    </row>
    <row r="27" spans="2:16" x14ac:dyDescent="0.3">
      <c r="B27" s="86" t="s">
        <v>378</v>
      </c>
      <c r="C27" s="87" t="s">
        <v>27</v>
      </c>
      <c r="D27" s="88" t="s">
        <v>133</v>
      </c>
      <c r="E27" s="89" t="s">
        <v>21</v>
      </c>
      <c r="F27" s="89">
        <v>1</v>
      </c>
      <c r="G27" s="90">
        <v>4</v>
      </c>
      <c r="H27" s="90">
        <v>2</v>
      </c>
      <c r="I27" s="90">
        <v>0</v>
      </c>
      <c r="J27" s="90">
        <v>0</v>
      </c>
      <c r="K27" s="90">
        <v>4</v>
      </c>
      <c r="L27" s="91">
        <v>2</v>
      </c>
      <c r="M27" s="92">
        <v>0</v>
      </c>
      <c r="N27" s="92">
        <v>0</v>
      </c>
      <c r="O27" s="90">
        <v>0</v>
      </c>
      <c r="P27" s="93">
        <v>160</v>
      </c>
    </row>
    <row r="28" spans="2:16" x14ac:dyDescent="0.3">
      <c r="B28" s="86" t="s">
        <v>500</v>
      </c>
      <c r="C28" s="87" t="s">
        <v>27</v>
      </c>
      <c r="D28" s="88" t="s">
        <v>149</v>
      </c>
      <c r="E28" s="89" t="s">
        <v>21</v>
      </c>
      <c r="F28" s="89">
        <v>2</v>
      </c>
      <c r="G28" s="90">
        <v>8</v>
      </c>
      <c r="H28" s="90">
        <v>4</v>
      </c>
      <c r="I28" s="90">
        <v>0</v>
      </c>
      <c r="J28" s="90">
        <v>0</v>
      </c>
      <c r="K28" s="90">
        <v>8</v>
      </c>
      <c r="L28" s="91">
        <v>4</v>
      </c>
      <c r="M28" s="92">
        <v>0</v>
      </c>
      <c r="N28" s="92">
        <v>0</v>
      </c>
      <c r="O28" s="90">
        <v>0</v>
      </c>
      <c r="P28" s="93">
        <v>320</v>
      </c>
    </row>
    <row r="29" spans="2:16" x14ac:dyDescent="0.3">
      <c r="B29" s="86" t="s">
        <v>515</v>
      </c>
      <c r="C29" s="87" t="s">
        <v>27</v>
      </c>
      <c r="D29" s="88" t="s">
        <v>99</v>
      </c>
      <c r="E29" s="89" t="s">
        <v>21</v>
      </c>
      <c r="F29" s="89">
        <v>1</v>
      </c>
      <c r="G29" s="90">
        <v>4</v>
      </c>
      <c r="H29" s="90">
        <v>2</v>
      </c>
      <c r="I29" s="90">
        <v>0</v>
      </c>
      <c r="J29" s="90">
        <v>0</v>
      </c>
      <c r="K29" s="90">
        <v>4</v>
      </c>
      <c r="L29" s="91">
        <v>2</v>
      </c>
      <c r="M29" s="92">
        <v>0</v>
      </c>
      <c r="N29" s="92">
        <v>0</v>
      </c>
      <c r="O29" s="90">
        <v>0</v>
      </c>
      <c r="P29" s="93">
        <v>160</v>
      </c>
    </row>
    <row r="30" spans="2:16" x14ac:dyDescent="0.3">
      <c r="B30" s="86" t="s">
        <v>94</v>
      </c>
      <c r="C30" s="87" t="s">
        <v>27</v>
      </c>
      <c r="D30" s="88" t="s">
        <v>114</v>
      </c>
      <c r="E30" s="89" t="s">
        <v>21</v>
      </c>
      <c r="F30" s="89">
        <v>2</v>
      </c>
      <c r="G30" s="90">
        <v>8</v>
      </c>
      <c r="H30" s="90">
        <v>4</v>
      </c>
      <c r="I30" s="90">
        <v>2</v>
      </c>
      <c r="J30" s="90">
        <v>0</v>
      </c>
      <c r="K30" s="90">
        <v>6</v>
      </c>
      <c r="L30" s="91">
        <v>4</v>
      </c>
      <c r="M30" s="92">
        <v>0.25</v>
      </c>
      <c r="N30" s="92">
        <v>0</v>
      </c>
      <c r="O30" s="90">
        <v>0</v>
      </c>
      <c r="P30" s="93">
        <v>280</v>
      </c>
    </row>
    <row r="31" spans="2:16" x14ac:dyDescent="0.3">
      <c r="B31" s="86" t="s">
        <v>517</v>
      </c>
      <c r="C31" s="87" t="s">
        <v>27</v>
      </c>
      <c r="D31" s="88" t="s">
        <v>151</v>
      </c>
      <c r="E31" s="89" t="s">
        <v>21</v>
      </c>
      <c r="F31" s="89">
        <v>1</v>
      </c>
      <c r="G31" s="90">
        <v>4</v>
      </c>
      <c r="H31" s="90">
        <v>2</v>
      </c>
      <c r="I31" s="90">
        <v>0</v>
      </c>
      <c r="J31" s="90">
        <v>0</v>
      </c>
      <c r="K31" s="90">
        <v>4</v>
      </c>
      <c r="L31" s="91">
        <v>2</v>
      </c>
      <c r="M31" s="92">
        <v>0</v>
      </c>
      <c r="N31" s="92">
        <v>0</v>
      </c>
      <c r="O31" s="90">
        <v>0</v>
      </c>
      <c r="P31" s="93">
        <v>160</v>
      </c>
    </row>
    <row r="32" spans="2:16" x14ac:dyDescent="0.3">
      <c r="B32" s="86" t="s">
        <v>519</v>
      </c>
      <c r="C32" s="87" t="s">
        <v>27</v>
      </c>
      <c r="D32" s="88" t="s">
        <v>121</v>
      </c>
      <c r="E32" s="89" t="s">
        <v>21</v>
      </c>
      <c r="F32" s="89">
        <v>2</v>
      </c>
      <c r="G32" s="90">
        <v>8</v>
      </c>
      <c r="H32" s="90">
        <v>4</v>
      </c>
      <c r="I32" s="90">
        <v>4</v>
      </c>
      <c r="J32" s="90">
        <v>2</v>
      </c>
      <c r="K32" s="90">
        <v>4</v>
      </c>
      <c r="L32" s="91">
        <v>2</v>
      </c>
      <c r="M32" s="92">
        <v>0.5</v>
      </c>
      <c r="N32" s="92">
        <v>0.5</v>
      </c>
      <c r="O32" s="90">
        <v>99</v>
      </c>
      <c r="P32" s="93">
        <v>160</v>
      </c>
    </row>
    <row r="33" spans="1:16" x14ac:dyDescent="0.3">
      <c r="B33" s="86" t="s">
        <v>521</v>
      </c>
      <c r="C33" s="87" t="s">
        <v>56</v>
      </c>
      <c r="D33" s="88" t="s">
        <v>139</v>
      </c>
      <c r="E33" s="89" t="s">
        <v>21</v>
      </c>
      <c r="F33" s="89">
        <v>1</v>
      </c>
      <c r="G33" s="90">
        <v>4</v>
      </c>
      <c r="H33" s="90">
        <v>2</v>
      </c>
      <c r="I33" s="90">
        <v>0</v>
      </c>
      <c r="J33" s="90">
        <v>0</v>
      </c>
      <c r="K33" s="90">
        <v>4</v>
      </c>
      <c r="L33" s="91">
        <v>2</v>
      </c>
      <c r="M33" s="92">
        <v>0</v>
      </c>
      <c r="N33" s="92">
        <v>0</v>
      </c>
      <c r="O33" s="90">
        <v>0</v>
      </c>
      <c r="P33" s="93">
        <v>160</v>
      </c>
    </row>
    <row r="34" spans="1:16" x14ac:dyDescent="0.3">
      <c r="B34" s="86" t="s">
        <v>522</v>
      </c>
      <c r="C34" s="87" t="s">
        <v>24</v>
      </c>
      <c r="D34" s="88" t="s">
        <v>82</v>
      </c>
      <c r="E34" s="89" t="s">
        <v>21</v>
      </c>
      <c r="F34" s="89">
        <v>1</v>
      </c>
      <c r="G34" s="90">
        <v>4</v>
      </c>
      <c r="H34" s="90">
        <v>2</v>
      </c>
      <c r="I34" s="90">
        <v>4</v>
      </c>
      <c r="J34" s="90">
        <v>2</v>
      </c>
      <c r="K34" s="90">
        <v>0</v>
      </c>
      <c r="L34" s="91">
        <v>0</v>
      </c>
      <c r="M34" s="92">
        <v>1</v>
      </c>
      <c r="N34" s="92">
        <v>1</v>
      </c>
      <c r="O34" s="90">
        <v>120</v>
      </c>
      <c r="P34" s="93">
        <v>0</v>
      </c>
    </row>
    <row r="35" spans="1:16" x14ac:dyDescent="0.3">
      <c r="B35" s="86" t="s">
        <v>524</v>
      </c>
      <c r="C35" s="87" t="s">
        <v>24</v>
      </c>
      <c r="D35" s="88" t="s">
        <v>679</v>
      </c>
      <c r="E35" s="89" t="s">
        <v>35</v>
      </c>
      <c r="F35" s="89">
        <v>1</v>
      </c>
      <c r="G35" s="90">
        <v>6</v>
      </c>
      <c r="H35" s="90">
        <v>6</v>
      </c>
      <c r="I35" s="90">
        <v>1</v>
      </c>
      <c r="J35" s="90">
        <v>0</v>
      </c>
      <c r="K35" s="90">
        <v>5</v>
      </c>
      <c r="L35" s="91">
        <v>6</v>
      </c>
      <c r="M35" s="92">
        <v>0.16666666666666666</v>
      </c>
      <c r="N35" s="92">
        <v>0</v>
      </c>
      <c r="O35" s="90">
        <v>0</v>
      </c>
      <c r="P35" s="93">
        <v>340</v>
      </c>
    </row>
    <row r="36" spans="1:16" x14ac:dyDescent="0.3">
      <c r="A36" s="95"/>
      <c r="B36" s="86" t="s">
        <v>520</v>
      </c>
      <c r="C36" s="87" t="s">
        <v>20</v>
      </c>
      <c r="D36" s="88" t="s">
        <v>112</v>
      </c>
      <c r="E36" s="89" t="s">
        <v>35</v>
      </c>
      <c r="F36" s="89">
        <v>1</v>
      </c>
      <c r="G36" s="90">
        <v>6</v>
      </c>
      <c r="H36" s="90">
        <v>6</v>
      </c>
      <c r="I36" s="90">
        <v>3</v>
      </c>
      <c r="J36" s="90">
        <v>3</v>
      </c>
      <c r="K36" s="90">
        <v>3</v>
      </c>
      <c r="L36" s="91">
        <v>3</v>
      </c>
      <c r="M36" s="92">
        <v>0.5</v>
      </c>
      <c r="N36" s="92">
        <v>0.5</v>
      </c>
      <c r="O36" s="90">
        <v>180</v>
      </c>
      <c r="P36" s="93">
        <v>180</v>
      </c>
    </row>
    <row r="37" spans="1:16" x14ac:dyDescent="0.3">
      <c r="B37" s="86" t="s">
        <v>527</v>
      </c>
      <c r="C37" s="87" t="s">
        <v>20</v>
      </c>
      <c r="D37" s="88" t="s">
        <v>155</v>
      </c>
      <c r="E37" s="89" t="s">
        <v>35</v>
      </c>
      <c r="F37" s="89">
        <v>1</v>
      </c>
      <c r="G37" s="90">
        <v>6</v>
      </c>
      <c r="H37" s="90">
        <v>6</v>
      </c>
      <c r="I37" s="90">
        <v>0</v>
      </c>
      <c r="J37" s="90">
        <v>0</v>
      </c>
      <c r="K37" s="90">
        <v>6</v>
      </c>
      <c r="L37" s="91">
        <v>6</v>
      </c>
      <c r="M37" s="92">
        <v>0</v>
      </c>
      <c r="N37" s="92">
        <v>0</v>
      </c>
      <c r="O37" s="90">
        <v>0</v>
      </c>
      <c r="P37" s="93">
        <v>360</v>
      </c>
    </row>
    <row r="38" spans="1:16" x14ac:dyDescent="0.3">
      <c r="B38" s="86" t="s">
        <v>282</v>
      </c>
      <c r="C38" s="87" t="s">
        <v>20</v>
      </c>
      <c r="D38" s="88" t="s">
        <v>141</v>
      </c>
      <c r="E38" s="89" t="s">
        <v>21</v>
      </c>
      <c r="F38" s="89">
        <v>1</v>
      </c>
      <c r="G38" s="90">
        <v>4</v>
      </c>
      <c r="H38" s="90">
        <v>2</v>
      </c>
      <c r="I38" s="90">
        <v>0</v>
      </c>
      <c r="J38" s="90">
        <v>0</v>
      </c>
      <c r="K38" s="90">
        <v>4</v>
      </c>
      <c r="L38" s="91">
        <v>2</v>
      </c>
      <c r="M38" s="92">
        <v>0</v>
      </c>
      <c r="N38" s="92">
        <v>0</v>
      </c>
      <c r="O38" s="90">
        <v>0</v>
      </c>
      <c r="P38" s="93">
        <v>160</v>
      </c>
    </row>
    <row r="39" spans="1:16" x14ac:dyDescent="0.3">
      <c r="B39" s="86" t="s">
        <v>528</v>
      </c>
      <c r="C39" s="87" t="s">
        <v>24</v>
      </c>
      <c r="D39" s="88" t="s">
        <v>680</v>
      </c>
      <c r="E39" s="89" t="s">
        <v>21</v>
      </c>
      <c r="F39" s="89">
        <v>1</v>
      </c>
      <c r="G39" s="90">
        <v>4</v>
      </c>
      <c r="H39" s="90">
        <v>2</v>
      </c>
      <c r="I39" s="90">
        <v>0</v>
      </c>
      <c r="J39" s="90">
        <v>0</v>
      </c>
      <c r="K39" s="90">
        <v>4</v>
      </c>
      <c r="L39" s="91">
        <v>2</v>
      </c>
      <c r="M39" s="92">
        <v>0</v>
      </c>
      <c r="N39" s="92">
        <v>0</v>
      </c>
      <c r="O39" s="90">
        <v>0</v>
      </c>
      <c r="P39" s="93">
        <v>160</v>
      </c>
    </row>
    <row r="40" spans="1:16" x14ac:dyDescent="0.3">
      <c r="B40" s="86" t="s">
        <v>530</v>
      </c>
      <c r="C40" s="87" t="s">
        <v>159</v>
      </c>
      <c r="D40" s="88" t="s">
        <v>68</v>
      </c>
      <c r="E40" s="89" t="s">
        <v>21</v>
      </c>
      <c r="F40" s="89">
        <v>1</v>
      </c>
      <c r="G40" s="90">
        <v>4</v>
      </c>
      <c r="H40" s="90">
        <v>2</v>
      </c>
      <c r="I40" s="90">
        <v>0</v>
      </c>
      <c r="J40" s="90">
        <v>0</v>
      </c>
      <c r="K40" s="90">
        <v>4</v>
      </c>
      <c r="L40" s="91">
        <v>2</v>
      </c>
      <c r="M40" s="92">
        <v>0</v>
      </c>
      <c r="N40" s="92">
        <v>0</v>
      </c>
      <c r="O40" s="90">
        <v>0</v>
      </c>
      <c r="P40" s="93">
        <v>160</v>
      </c>
    </row>
    <row r="41" spans="1:16" x14ac:dyDescent="0.3">
      <c r="B41" s="86" t="s">
        <v>212</v>
      </c>
      <c r="C41" s="87" t="s">
        <v>159</v>
      </c>
      <c r="D41" s="88" t="s">
        <v>64</v>
      </c>
      <c r="E41" s="89" t="s">
        <v>35</v>
      </c>
      <c r="F41" s="89">
        <v>1</v>
      </c>
      <c r="G41" s="90">
        <v>6</v>
      </c>
      <c r="H41" s="90">
        <v>6</v>
      </c>
      <c r="I41" s="90">
        <v>2</v>
      </c>
      <c r="J41" s="90">
        <v>2</v>
      </c>
      <c r="K41" s="90">
        <v>4</v>
      </c>
      <c r="L41" s="91">
        <v>4</v>
      </c>
      <c r="M41" s="92">
        <v>0.33333333333333331</v>
      </c>
      <c r="N41" s="92">
        <v>0.33333333333333331</v>
      </c>
      <c r="O41" s="90">
        <v>82</v>
      </c>
      <c r="P41" s="93">
        <v>240</v>
      </c>
    </row>
    <row r="42" spans="1:16" x14ac:dyDescent="0.3">
      <c r="B42" s="86" t="s">
        <v>532</v>
      </c>
      <c r="C42" s="87" t="s">
        <v>159</v>
      </c>
      <c r="D42" s="88" t="s">
        <v>153</v>
      </c>
      <c r="E42" s="89" t="s">
        <v>21</v>
      </c>
      <c r="F42" s="89">
        <v>1</v>
      </c>
      <c r="G42" s="90">
        <v>4</v>
      </c>
      <c r="H42" s="90">
        <v>2</v>
      </c>
      <c r="I42" s="90">
        <v>0</v>
      </c>
      <c r="J42" s="90">
        <v>0</v>
      </c>
      <c r="K42" s="90">
        <v>4</v>
      </c>
      <c r="L42" s="91">
        <v>2</v>
      </c>
      <c r="M42" s="92">
        <v>0</v>
      </c>
      <c r="N42" s="92">
        <v>0</v>
      </c>
      <c r="O42" s="90">
        <v>0</v>
      </c>
      <c r="P42" s="93">
        <v>160</v>
      </c>
    </row>
    <row r="43" spans="1:16" x14ac:dyDescent="0.3">
      <c r="B43" s="86" t="s">
        <v>534</v>
      </c>
      <c r="C43" s="87" t="s">
        <v>92</v>
      </c>
      <c r="D43" s="88" t="s">
        <v>135</v>
      </c>
      <c r="E43" s="89" t="s">
        <v>21</v>
      </c>
      <c r="F43" s="89">
        <v>1</v>
      </c>
      <c r="G43" s="90">
        <v>4</v>
      </c>
      <c r="H43" s="90">
        <v>2</v>
      </c>
      <c r="I43" s="90">
        <v>0</v>
      </c>
      <c r="J43" s="90">
        <v>0</v>
      </c>
      <c r="K43" s="90">
        <v>4</v>
      </c>
      <c r="L43" s="91">
        <v>2</v>
      </c>
      <c r="M43" s="92">
        <v>0</v>
      </c>
      <c r="N43" s="92">
        <v>0</v>
      </c>
      <c r="O43" s="90">
        <v>0</v>
      </c>
      <c r="P43" s="93">
        <v>160</v>
      </c>
    </row>
    <row r="44" spans="1:16" x14ac:dyDescent="0.3">
      <c r="B44" s="86" t="s">
        <v>535</v>
      </c>
      <c r="C44" s="87" t="s">
        <v>27</v>
      </c>
      <c r="D44" s="88" t="s">
        <v>162</v>
      </c>
      <c r="E44" s="89" t="s">
        <v>21</v>
      </c>
      <c r="F44" s="89">
        <v>1</v>
      </c>
      <c r="G44" s="90">
        <v>4</v>
      </c>
      <c r="H44" s="90">
        <v>2</v>
      </c>
      <c r="I44" s="90">
        <v>1</v>
      </c>
      <c r="J44" s="90">
        <v>0</v>
      </c>
      <c r="K44" s="90">
        <v>3</v>
      </c>
      <c r="L44" s="91">
        <v>2</v>
      </c>
      <c r="M44" s="92">
        <v>0.25</v>
      </c>
      <c r="N44" s="92">
        <v>0</v>
      </c>
      <c r="O44" s="90">
        <v>0</v>
      </c>
      <c r="P44" s="93">
        <v>140</v>
      </c>
    </row>
    <row r="45" spans="1:16" x14ac:dyDescent="0.3">
      <c r="B45" s="86" t="s">
        <v>537</v>
      </c>
      <c r="C45" s="87" t="s">
        <v>111</v>
      </c>
      <c r="D45" s="88" t="s">
        <v>143</v>
      </c>
      <c r="E45" s="89" t="s">
        <v>21</v>
      </c>
      <c r="F45" s="89">
        <v>1</v>
      </c>
      <c r="G45" s="90">
        <v>4</v>
      </c>
      <c r="H45" s="90">
        <v>2</v>
      </c>
      <c r="I45" s="90">
        <v>0</v>
      </c>
      <c r="J45" s="90">
        <v>0</v>
      </c>
      <c r="K45" s="90">
        <v>4</v>
      </c>
      <c r="L45" s="91">
        <v>2</v>
      </c>
      <c r="M45" s="92">
        <v>0</v>
      </c>
      <c r="N45" s="92">
        <v>0</v>
      </c>
      <c r="O45" s="90">
        <v>0</v>
      </c>
      <c r="P45" s="93">
        <v>160</v>
      </c>
    </row>
    <row r="46" spans="1:16" x14ac:dyDescent="0.3">
      <c r="B46" s="86" t="s">
        <v>206</v>
      </c>
      <c r="C46" s="87" t="s">
        <v>198</v>
      </c>
      <c r="D46" s="88" t="s">
        <v>107</v>
      </c>
      <c r="E46" s="89" t="s">
        <v>21</v>
      </c>
      <c r="F46" s="89">
        <v>1</v>
      </c>
      <c r="G46" s="90">
        <v>4</v>
      </c>
      <c r="H46" s="90">
        <v>2</v>
      </c>
      <c r="I46" s="90">
        <v>0</v>
      </c>
      <c r="J46" s="90">
        <v>0</v>
      </c>
      <c r="K46" s="90">
        <v>4</v>
      </c>
      <c r="L46" s="91">
        <v>2</v>
      </c>
      <c r="M46" s="92">
        <v>0</v>
      </c>
      <c r="N46" s="92">
        <v>0</v>
      </c>
      <c r="O46" s="90">
        <v>0</v>
      </c>
      <c r="P46" s="93">
        <v>160</v>
      </c>
    </row>
    <row r="47" spans="1:16" x14ac:dyDescent="0.3">
      <c r="B47" s="86" t="s">
        <v>539</v>
      </c>
      <c r="C47" s="87" t="s">
        <v>24</v>
      </c>
      <c r="D47" s="88" t="s">
        <v>78</v>
      </c>
      <c r="E47" s="89" t="s">
        <v>21</v>
      </c>
      <c r="F47" s="89">
        <v>1</v>
      </c>
      <c r="G47" s="90">
        <v>4</v>
      </c>
      <c r="H47" s="90">
        <v>2</v>
      </c>
      <c r="I47" s="90">
        <v>4</v>
      </c>
      <c r="J47" s="90">
        <v>2</v>
      </c>
      <c r="K47" s="90">
        <v>0</v>
      </c>
      <c r="L47" s="91">
        <v>0</v>
      </c>
      <c r="M47" s="92">
        <v>1</v>
      </c>
      <c r="N47" s="92">
        <v>1</v>
      </c>
      <c r="O47" s="90">
        <v>140</v>
      </c>
      <c r="P47" s="93">
        <v>0</v>
      </c>
    </row>
    <row r="48" spans="1:16" x14ac:dyDescent="0.3">
      <c r="B48" s="86" t="s">
        <v>177</v>
      </c>
      <c r="C48" s="87" t="s">
        <v>27</v>
      </c>
      <c r="D48" s="88" t="s">
        <v>70</v>
      </c>
      <c r="E48" s="89" t="s">
        <v>21</v>
      </c>
      <c r="F48" s="89">
        <v>2</v>
      </c>
      <c r="G48" s="90">
        <v>8</v>
      </c>
      <c r="H48" s="90">
        <v>4</v>
      </c>
      <c r="I48" s="90">
        <v>2</v>
      </c>
      <c r="J48" s="90">
        <v>0</v>
      </c>
      <c r="K48" s="90">
        <v>6</v>
      </c>
      <c r="L48" s="91">
        <v>4</v>
      </c>
      <c r="M48" s="92">
        <v>0.25</v>
      </c>
      <c r="N48" s="92">
        <v>0</v>
      </c>
      <c r="O48" s="90">
        <v>0</v>
      </c>
      <c r="P48" s="93">
        <v>280</v>
      </c>
    </row>
    <row r="49" spans="2:16" x14ac:dyDescent="0.3">
      <c r="B49" s="86" t="s">
        <v>511</v>
      </c>
      <c r="C49" s="87" t="s">
        <v>24</v>
      </c>
      <c r="D49" s="88" t="s">
        <v>125</v>
      </c>
      <c r="E49" s="89" t="s">
        <v>21</v>
      </c>
      <c r="F49" s="89">
        <v>1</v>
      </c>
      <c r="G49" s="90">
        <v>4</v>
      </c>
      <c r="H49" s="90">
        <v>2</v>
      </c>
      <c r="I49" s="90">
        <v>4</v>
      </c>
      <c r="J49" s="90">
        <v>2</v>
      </c>
      <c r="K49" s="90">
        <v>0</v>
      </c>
      <c r="L49" s="91">
        <v>0</v>
      </c>
      <c r="M49" s="92">
        <v>1</v>
      </c>
      <c r="N49" s="92">
        <v>1</v>
      </c>
      <c r="O49" s="90">
        <v>148</v>
      </c>
      <c r="P49" s="93">
        <v>0</v>
      </c>
    </row>
    <row r="50" spans="2:16" x14ac:dyDescent="0.3">
      <c r="B50" s="86" t="s">
        <v>542</v>
      </c>
      <c r="C50" s="87" t="s">
        <v>24</v>
      </c>
      <c r="D50" s="88" t="s">
        <v>681</v>
      </c>
      <c r="E50" s="89" t="s">
        <v>35</v>
      </c>
      <c r="F50" s="89">
        <v>1</v>
      </c>
      <c r="G50" s="90">
        <v>6</v>
      </c>
      <c r="H50" s="90">
        <v>6</v>
      </c>
      <c r="I50" s="90">
        <v>6</v>
      </c>
      <c r="J50" s="90">
        <v>6</v>
      </c>
      <c r="K50" s="90">
        <v>0</v>
      </c>
      <c r="L50" s="91">
        <v>0</v>
      </c>
      <c r="M50" s="92">
        <v>1</v>
      </c>
      <c r="N50" s="92">
        <v>1</v>
      </c>
      <c r="O50" s="90">
        <v>360</v>
      </c>
      <c r="P50" s="93">
        <v>0</v>
      </c>
    </row>
    <row r="51" spans="2:16" x14ac:dyDescent="0.3">
      <c r="B51" s="86" t="s">
        <v>516</v>
      </c>
      <c r="C51" s="87" t="s">
        <v>24</v>
      </c>
      <c r="D51" s="88" t="s">
        <v>127</v>
      </c>
      <c r="E51" s="89" t="s">
        <v>21</v>
      </c>
      <c r="F51" s="89">
        <v>1</v>
      </c>
      <c r="G51" s="90">
        <v>4</v>
      </c>
      <c r="H51" s="90">
        <v>2</v>
      </c>
      <c r="I51" s="90">
        <v>0</v>
      </c>
      <c r="J51" s="90">
        <v>0</v>
      </c>
      <c r="K51" s="90">
        <v>4</v>
      </c>
      <c r="L51" s="91">
        <v>2</v>
      </c>
      <c r="M51" s="92">
        <v>0</v>
      </c>
      <c r="N51" s="92">
        <v>0</v>
      </c>
      <c r="O51" s="90">
        <v>0</v>
      </c>
      <c r="P51" s="93">
        <v>160</v>
      </c>
    </row>
    <row r="52" spans="2:16" x14ac:dyDescent="0.3">
      <c r="B52" s="86" t="s">
        <v>545</v>
      </c>
      <c r="C52" s="87" t="s">
        <v>31</v>
      </c>
      <c r="D52" s="88" t="s">
        <v>164</v>
      </c>
      <c r="E52" s="89" t="s">
        <v>21</v>
      </c>
      <c r="F52" s="89">
        <v>2</v>
      </c>
      <c r="G52" s="90">
        <v>8</v>
      </c>
      <c r="H52" s="90">
        <v>4</v>
      </c>
      <c r="I52" s="90">
        <v>0</v>
      </c>
      <c r="J52" s="90">
        <v>0</v>
      </c>
      <c r="K52" s="90">
        <v>8</v>
      </c>
      <c r="L52" s="91">
        <v>4</v>
      </c>
      <c r="M52" s="92">
        <v>0</v>
      </c>
      <c r="N52" s="92">
        <v>0</v>
      </c>
      <c r="O52" s="90">
        <v>0</v>
      </c>
      <c r="P52" s="93">
        <v>320</v>
      </c>
    </row>
    <row r="53" spans="2:16" x14ac:dyDescent="0.3">
      <c r="B53" s="86" t="s">
        <v>30</v>
      </c>
      <c r="C53" s="87" t="s">
        <v>31</v>
      </c>
      <c r="D53" s="88" t="s">
        <v>95</v>
      </c>
      <c r="E53" s="89" t="s">
        <v>21</v>
      </c>
      <c r="F53" s="89">
        <v>1</v>
      </c>
      <c r="G53" s="90">
        <v>4</v>
      </c>
      <c r="H53" s="90">
        <v>2</v>
      </c>
      <c r="I53" s="90">
        <v>3</v>
      </c>
      <c r="J53" s="90">
        <v>2</v>
      </c>
      <c r="K53" s="90">
        <v>1</v>
      </c>
      <c r="L53" s="91">
        <v>0</v>
      </c>
      <c r="M53" s="92">
        <v>0.75</v>
      </c>
      <c r="N53" s="92">
        <v>1</v>
      </c>
      <c r="O53" s="90">
        <v>82</v>
      </c>
      <c r="P53" s="93">
        <v>20</v>
      </c>
    </row>
    <row r="54" spans="2:16" x14ac:dyDescent="0.3">
      <c r="B54" s="86" t="s">
        <v>104</v>
      </c>
      <c r="C54" s="87" t="s">
        <v>24</v>
      </c>
      <c r="D54" s="88" t="s">
        <v>123</v>
      </c>
      <c r="E54" s="89" t="s">
        <v>28</v>
      </c>
      <c r="F54" s="89">
        <v>2</v>
      </c>
      <c r="G54" s="90">
        <v>16</v>
      </c>
      <c r="H54" s="90">
        <v>16</v>
      </c>
      <c r="I54" s="90">
        <v>13</v>
      </c>
      <c r="J54" s="90">
        <v>12</v>
      </c>
      <c r="K54" s="90">
        <v>3</v>
      </c>
      <c r="L54" s="91">
        <v>4</v>
      </c>
      <c r="M54" s="92">
        <v>0.8125</v>
      </c>
      <c r="N54" s="92">
        <v>0.75</v>
      </c>
      <c r="O54" s="90">
        <v>720</v>
      </c>
      <c r="P54" s="93">
        <v>220</v>
      </c>
    </row>
    <row r="55" spans="2:16" x14ac:dyDescent="0.3">
      <c r="B55" s="86" t="s">
        <v>548</v>
      </c>
      <c r="C55" s="87" t="s">
        <v>159</v>
      </c>
      <c r="D55" s="88" t="s">
        <v>105</v>
      </c>
      <c r="E55" s="89" t="s">
        <v>21</v>
      </c>
      <c r="F55" s="89">
        <v>1</v>
      </c>
      <c r="G55" s="90">
        <v>4</v>
      </c>
      <c r="H55" s="90">
        <v>2</v>
      </c>
      <c r="I55" s="90">
        <v>0</v>
      </c>
      <c r="J55" s="90">
        <v>0</v>
      </c>
      <c r="K55" s="90">
        <v>4</v>
      </c>
      <c r="L55" s="91">
        <v>2</v>
      </c>
      <c r="M55" s="92">
        <v>0</v>
      </c>
      <c r="N55" s="92">
        <v>0</v>
      </c>
      <c r="O55" s="90">
        <v>0</v>
      </c>
      <c r="P55" s="93">
        <v>160</v>
      </c>
    </row>
    <row r="56" spans="2:16" x14ac:dyDescent="0.3">
      <c r="B56" s="86" t="s">
        <v>550</v>
      </c>
      <c r="C56" s="87" t="s">
        <v>159</v>
      </c>
      <c r="D56" s="88" t="s">
        <v>76</v>
      </c>
      <c r="E56" s="89" t="s">
        <v>28</v>
      </c>
      <c r="F56" s="89">
        <v>3</v>
      </c>
      <c r="G56" s="90">
        <v>24</v>
      </c>
      <c r="H56" s="90">
        <v>24</v>
      </c>
      <c r="I56" s="90">
        <v>9</v>
      </c>
      <c r="J56" s="90">
        <v>5</v>
      </c>
      <c r="K56" s="90">
        <v>15</v>
      </c>
      <c r="L56" s="91">
        <v>19</v>
      </c>
      <c r="M56" s="92">
        <v>0.375</v>
      </c>
      <c r="N56" s="92">
        <v>0.20833333333333334</v>
      </c>
      <c r="O56" s="90">
        <v>340</v>
      </c>
      <c r="P56" s="93">
        <v>1060</v>
      </c>
    </row>
    <row r="57" spans="2:16" x14ac:dyDescent="0.3">
      <c r="B57" s="86" t="s">
        <v>37</v>
      </c>
      <c r="C57" s="87" t="s">
        <v>31</v>
      </c>
      <c r="D57" s="88" t="s">
        <v>170</v>
      </c>
      <c r="E57" s="89" t="s">
        <v>28</v>
      </c>
      <c r="F57" s="89">
        <v>1</v>
      </c>
      <c r="G57" s="90">
        <v>8</v>
      </c>
      <c r="H57" s="90">
        <v>8</v>
      </c>
      <c r="I57" s="90">
        <v>0</v>
      </c>
      <c r="J57" s="90">
        <v>0</v>
      </c>
      <c r="K57" s="90">
        <v>8</v>
      </c>
      <c r="L57" s="91">
        <v>8</v>
      </c>
      <c r="M57" s="92">
        <v>0</v>
      </c>
      <c r="N57" s="92">
        <v>0</v>
      </c>
      <c r="O57" s="90">
        <v>0</v>
      </c>
      <c r="P57" s="93">
        <v>480</v>
      </c>
    </row>
    <row r="58" spans="2:16" x14ac:dyDescent="0.3">
      <c r="B58" s="86" t="s">
        <v>58</v>
      </c>
      <c r="C58" s="87" t="s">
        <v>31</v>
      </c>
      <c r="D58" s="88" t="s">
        <v>145</v>
      </c>
      <c r="E58" s="89" t="s">
        <v>28</v>
      </c>
      <c r="F58" s="89">
        <v>2</v>
      </c>
      <c r="G58" s="90">
        <v>16</v>
      </c>
      <c r="H58" s="90">
        <v>16</v>
      </c>
      <c r="I58" s="90">
        <v>10</v>
      </c>
      <c r="J58" s="90">
        <v>4</v>
      </c>
      <c r="K58" s="90">
        <v>6</v>
      </c>
      <c r="L58" s="91">
        <v>12</v>
      </c>
      <c r="M58" s="92">
        <v>0.625</v>
      </c>
      <c r="N58" s="92">
        <v>0.25</v>
      </c>
      <c r="O58" s="90">
        <v>200</v>
      </c>
      <c r="P58" s="93">
        <v>600</v>
      </c>
    </row>
    <row r="59" spans="2:16" x14ac:dyDescent="0.3">
      <c r="B59" s="86" t="s">
        <v>554</v>
      </c>
      <c r="C59" s="87" t="s">
        <v>31</v>
      </c>
      <c r="D59" s="88" t="s">
        <v>57</v>
      </c>
      <c r="E59" s="89" t="s">
        <v>21</v>
      </c>
      <c r="F59" s="89">
        <v>1</v>
      </c>
      <c r="G59" s="90">
        <v>4</v>
      </c>
      <c r="H59" s="90">
        <v>2</v>
      </c>
      <c r="I59" s="90">
        <v>0</v>
      </c>
      <c r="J59" s="90">
        <v>0</v>
      </c>
      <c r="K59" s="90">
        <v>4</v>
      </c>
      <c r="L59" s="91">
        <v>2</v>
      </c>
      <c r="M59" s="92">
        <v>0</v>
      </c>
      <c r="N59" s="92">
        <v>0</v>
      </c>
      <c r="O59" s="90">
        <v>0</v>
      </c>
      <c r="P59" s="93">
        <v>160</v>
      </c>
    </row>
    <row r="60" spans="2:16" x14ac:dyDescent="0.3">
      <c r="B60" s="86" t="s">
        <v>204</v>
      </c>
      <c r="C60" s="87" t="s">
        <v>31</v>
      </c>
      <c r="D60" s="88" t="s">
        <v>86</v>
      </c>
      <c r="E60" s="89" t="s">
        <v>21</v>
      </c>
      <c r="F60" s="89">
        <v>2</v>
      </c>
      <c r="G60" s="90">
        <v>8</v>
      </c>
      <c r="H60" s="90">
        <v>4</v>
      </c>
      <c r="I60" s="90">
        <v>0</v>
      </c>
      <c r="J60" s="90">
        <v>0</v>
      </c>
      <c r="K60" s="90">
        <v>8</v>
      </c>
      <c r="L60" s="91">
        <v>4</v>
      </c>
      <c r="M60" s="92">
        <v>0</v>
      </c>
      <c r="N60" s="92">
        <v>0</v>
      </c>
      <c r="O60" s="90">
        <v>0</v>
      </c>
      <c r="P60" s="93">
        <v>320</v>
      </c>
    </row>
    <row r="61" spans="2:16" x14ac:dyDescent="0.3">
      <c r="B61" s="86" t="s">
        <v>556</v>
      </c>
      <c r="C61" s="87" t="s">
        <v>31</v>
      </c>
      <c r="D61" s="88" t="s">
        <v>90</v>
      </c>
      <c r="E61" s="89" t="s">
        <v>21</v>
      </c>
      <c r="F61" s="89">
        <v>1</v>
      </c>
      <c r="G61" s="90">
        <v>4</v>
      </c>
      <c r="H61" s="90">
        <v>2</v>
      </c>
      <c r="I61" s="90">
        <v>0</v>
      </c>
      <c r="J61" s="90">
        <v>0</v>
      </c>
      <c r="K61" s="90">
        <v>4</v>
      </c>
      <c r="L61" s="91">
        <v>2</v>
      </c>
      <c r="M61" s="92">
        <v>0</v>
      </c>
      <c r="N61" s="92">
        <v>0</v>
      </c>
      <c r="O61" s="90">
        <v>0</v>
      </c>
      <c r="P61" s="93">
        <v>160</v>
      </c>
    </row>
    <row r="62" spans="2:16" x14ac:dyDescent="0.3">
      <c r="B62" s="86" t="s">
        <v>557</v>
      </c>
      <c r="C62" s="87" t="s">
        <v>31</v>
      </c>
      <c r="D62" s="88" t="s">
        <v>66</v>
      </c>
      <c r="E62" s="89" t="s">
        <v>21</v>
      </c>
      <c r="F62" s="89">
        <v>1</v>
      </c>
      <c r="G62" s="90">
        <v>4</v>
      </c>
      <c r="H62" s="90">
        <v>2</v>
      </c>
      <c r="I62" s="90">
        <v>0</v>
      </c>
      <c r="J62" s="90">
        <v>0</v>
      </c>
      <c r="K62" s="90">
        <v>4</v>
      </c>
      <c r="L62" s="91">
        <v>2</v>
      </c>
      <c r="M62" s="92">
        <v>0</v>
      </c>
      <c r="N62" s="92">
        <v>0</v>
      </c>
      <c r="O62" s="90">
        <v>0</v>
      </c>
      <c r="P62" s="93">
        <v>160</v>
      </c>
    </row>
    <row r="63" spans="2:16" x14ac:dyDescent="0.3">
      <c r="B63" s="86" t="s">
        <v>437</v>
      </c>
      <c r="C63" s="87" t="s">
        <v>31</v>
      </c>
      <c r="D63" s="88" t="s">
        <v>682</v>
      </c>
      <c r="E63" s="89" t="s">
        <v>21</v>
      </c>
      <c r="F63" s="89">
        <v>1</v>
      </c>
      <c r="G63" s="90">
        <v>4</v>
      </c>
      <c r="H63" s="90">
        <v>2</v>
      </c>
      <c r="I63" s="90">
        <v>0</v>
      </c>
      <c r="J63" s="90">
        <v>0</v>
      </c>
      <c r="K63" s="90">
        <v>4</v>
      </c>
      <c r="L63" s="91">
        <v>2</v>
      </c>
      <c r="M63" s="92">
        <v>0</v>
      </c>
      <c r="N63" s="92">
        <v>0</v>
      </c>
      <c r="O63" s="90">
        <v>0</v>
      </c>
      <c r="P63" s="93">
        <v>160</v>
      </c>
    </row>
    <row r="64" spans="2:16" x14ac:dyDescent="0.3">
      <c r="B64" s="86" t="s">
        <v>173</v>
      </c>
      <c r="C64" s="87" t="s">
        <v>31</v>
      </c>
      <c r="D64" s="88" t="s">
        <v>97</v>
      </c>
      <c r="E64" s="89" t="s">
        <v>21</v>
      </c>
      <c r="F64" s="89">
        <v>2</v>
      </c>
      <c r="G64" s="90">
        <v>8</v>
      </c>
      <c r="H64" s="90">
        <v>4</v>
      </c>
      <c r="I64" s="90">
        <v>1</v>
      </c>
      <c r="J64" s="90">
        <v>0</v>
      </c>
      <c r="K64" s="90">
        <v>7</v>
      </c>
      <c r="L64" s="91">
        <v>4</v>
      </c>
      <c r="M64" s="92">
        <v>0.125</v>
      </c>
      <c r="N64" s="92">
        <v>0</v>
      </c>
      <c r="O64" s="90">
        <v>0</v>
      </c>
      <c r="P64" s="93">
        <v>300</v>
      </c>
    </row>
    <row r="65" spans="2:16" x14ac:dyDescent="0.3">
      <c r="B65" s="86" t="s">
        <v>306</v>
      </c>
      <c r="C65" s="87" t="s">
        <v>63</v>
      </c>
      <c r="D65" s="88" t="s">
        <v>157</v>
      </c>
      <c r="E65" s="89" t="s">
        <v>21</v>
      </c>
      <c r="F65" s="89">
        <v>1</v>
      </c>
      <c r="G65" s="90">
        <v>4</v>
      </c>
      <c r="H65" s="90">
        <v>2</v>
      </c>
      <c r="I65" s="90">
        <v>0</v>
      </c>
      <c r="J65" s="90">
        <v>0</v>
      </c>
      <c r="K65" s="90">
        <v>4</v>
      </c>
      <c r="L65" s="91">
        <v>2</v>
      </c>
      <c r="M65" s="92">
        <v>0</v>
      </c>
      <c r="N65" s="92">
        <v>0</v>
      </c>
      <c r="O65" s="90">
        <v>0</v>
      </c>
      <c r="P65" s="93">
        <v>160</v>
      </c>
    </row>
    <row r="66" spans="2:16" x14ac:dyDescent="0.3">
      <c r="B66" s="86" t="s">
        <v>562</v>
      </c>
      <c r="C66" s="87" t="s">
        <v>63</v>
      </c>
      <c r="D66" s="88" t="s">
        <v>683</v>
      </c>
      <c r="E66" s="89" t="s">
        <v>21</v>
      </c>
      <c r="F66" s="89">
        <v>1</v>
      </c>
      <c r="G66" s="90">
        <v>4</v>
      </c>
      <c r="H66" s="90">
        <v>2</v>
      </c>
      <c r="I66" s="90">
        <v>0</v>
      </c>
      <c r="J66" s="90">
        <v>0</v>
      </c>
      <c r="K66" s="90">
        <v>4</v>
      </c>
      <c r="L66" s="91">
        <v>2</v>
      </c>
      <c r="M66" s="92">
        <v>0</v>
      </c>
      <c r="N66" s="92">
        <v>0</v>
      </c>
      <c r="O66" s="90">
        <v>0</v>
      </c>
      <c r="P66" s="93">
        <v>160</v>
      </c>
    </row>
    <row r="67" spans="2:16" x14ac:dyDescent="0.3">
      <c r="B67" s="86" t="s">
        <v>420</v>
      </c>
      <c r="C67" s="87" t="s">
        <v>27</v>
      </c>
      <c r="D67" s="88" t="s">
        <v>684</v>
      </c>
      <c r="E67" s="89" t="s">
        <v>21</v>
      </c>
      <c r="F67" s="89">
        <v>1</v>
      </c>
      <c r="G67" s="90">
        <v>4</v>
      </c>
      <c r="H67" s="90">
        <v>2</v>
      </c>
      <c r="I67" s="90">
        <v>0</v>
      </c>
      <c r="J67" s="90">
        <v>0</v>
      </c>
      <c r="K67" s="90">
        <v>4</v>
      </c>
      <c r="L67" s="91">
        <v>2</v>
      </c>
      <c r="M67" s="92">
        <v>0</v>
      </c>
      <c r="N67" s="92">
        <v>0</v>
      </c>
      <c r="O67" s="90">
        <v>0</v>
      </c>
      <c r="P67" s="93">
        <v>160</v>
      </c>
    </row>
    <row r="68" spans="2:16" x14ac:dyDescent="0.3">
      <c r="B68" s="86" t="s">
        <v>563</v>
      </c>
      <c r="C68" s="87" t="s">
        <v>56</v>
      </c>
      <c r="D68" s="88" t="s">
        <v>80</v>
      </c>
      <c r="E68" s="89" t="s">
        <v>21</v>
      </c>
      <c r="F68" s="89">
        <v>2</v>
      </c>
      <c r="G68" s="90">
        <v>8</v>
      </c>
      <c r="H68" s="90">
        <v>4</v>
      </c>
      <c r="I68" s="90">
        <v>1</v>
      </c>
      <c r="J68" s="90">
        <v>0</v>
      </c>
      <c r="K68" s="90">
        <v>7</v>
      </c>
      <c r="L68" s="91">
        <v>4</v>
      </c>
      <c r="M68" s="92">
        <v>0.125</v>
      </c>
      <c r="N68" s="92">
        <v>0</v>
      </c>
      <c r="O68" s="90">
        <v>0</v>
      </c>
      <c r="P68" s="93">
        <v>300</v>
      </c>
    </row>
    <row r="69" spans="2:16" x14ac:dyDescent="0.3">
      <c r="B69" s="86" t="s">
        <v>408</v>
      </c>
      <c r="C69" s="87" t="s">
        <v>56</v>
      </c>
      <c r="D69" s="88" t="s">
        <v>129</v>
      </c>
      <c r="E69" s="89" t="s">
        <v>21</v>
      </c>
      <c r="F69" s="89">
        <v>1</v>
      </c>
      <c r="G69" s="90">
        <v>4</v>
      </c>
      <c r="H69" s="90">
        <v>2</v>
      </c>
      <c r="I69" s="90">
        <v>0</v>
      </c>
      <c r="J69" s="90">
        <v>0</v>
      </c>
      <c r="K69" s="90">
        <v>4</v>
      </c>
      <c r="L69" s="91">
        <v>2</v>
      </c>
      <c r="M69" s="92">
        <v>0</v>
      </c>
      <c r="N69" s="92">
        <v>0</v>
      </c>
      <c r="O69" s="90">
        <v>0</v>
      </c>
      <c r="P69" s="93">
        <v>160</v>
      </c>
    </row>
    <row r="70" spans="2:16" x14ac:dyDescent="0.3">
      <c r="B70" s="86" t="s">
        <v>565</v>
      </c>
      <c r="C70" s="87" t="s">
        <v>31</v>
      </c>
      <c r="D70" s="88" t="s">
        <v>685</v>
      </c>
      <c r="E70" s="89" t="s">
        <v>21</v>
      </c>
      <c r="F70" s="89">
        <v>1</v>
      </c>
      <c r="G70" s="90">
        <v>4</v>
      </c>
      <c r="H70" s="90">
        <v>2</v>
      </c>
      <c r="I70" s="90">
        <v>0</v>
      </c>
      <c r="J70" s="90">
        <v>0</v>
      </c>
      <c r="K70" s="90">
        <v>4</v>
      </c>
      <c r="L70" s="91">
        <v>2</v>
      </c>
      <c r="M70" s="92">
        <v>0</v>
      </c>
      <c r="N70" s="92">
        <v>0</v>
      </c>
      <c r="O70" s="90">
        <v>0</v>
      </c>
      <c r="P70" s="93">
        <v>160</v>
      </c>
    </row>
    <row r="71" spans="2:16" x14ac:dyDescent="0.3">
      <c r="B71" s="86" t="s">
        <v>366</v>
      </c>
      <c r="C71" s="87" t="s">
        <v>24</v>
      </c>
      <c r="D71" s="88" t="s">
        <v>109</v>
      </c>
      <c r="E71" s="89" t="s">
        <v>21</v>
      </c>
      <c r="F71" s="89">
        <v>1</v>
      </c>
      <c r="G71" s="90">
        <v>4</v>
      </c>
      <c r="H71" s="90">
        <v>2</v>
      </c>
      <c r="I71" s="90">
        <v>0</v>
      </c>
      <c r="J71" s="90">
        <v>0</v>
      </c>
      <c r="K71" s="90">
        <v>4</v>
      </c>
      <c r="L71" s="91">
        <v>2</v>
      </c>
      <c r="M71" s="92">
        <v>0</v>
      </c>
      <c r="N71" s="92">
        <v>0</v>
      </c>
      <c r="O71" s="90">
        <v>0</v>
      </c>
      <c r="P71" s="93">
        <v>160</v>
      </c>
    </row>
    <row r="72" spans="2:16" x14ac:dyDescent="0.3">
      <c r="B72" s="86" t="s">
        <v>426</v>
      </c>
      <c r="C72" s="87" t="s">
        <v>24</v>
      </c>
      <c r="D72" s="88" t="s">
        <v>686</v>
      </c>
      <c r="E72" s="89" t="s">
        <v>21</v>
      </c>
      <c r="F72" s="89">
        <v>1</v>
      </c>
      <c r="G72" s="90">
        <v>4</v>
      </c>
      <c r="H72" s="90">
        <v>2</v>
      </c>
      <c r="I72" s="90">
        <v>0</v>
      </c>
      <c r="J72" s="90">
        <v>0</v>
      </c>
      <c r="K72" s="90">
        <v>4</v>
      </c>
      <c r="L72" s="91">
        <v>2</v>
      </c>
      <c r="M72" s="92">
        <v>0</v>
      </c>
      <c r="N72" s="92">
        <v>0</v>
      </c>
      <c r="O72" s="90">
        <v>0</v>
      </c>
      <c r="P72" s="93">
        <v>160</v>
      </c>
    </row>
    <row r="73" spans="2:16" x14ac:dyDescent="0.3">
      <c r="B73" s="86" t="s">
        <v>202</v>
      </c>
      <c r="C73" s="87" t="s">
        <v>24</v>
      </c>
      <c r="D73" s="88" t="s">
        <v>61</v>
      </c>
      <c r="E73" s="89" t="s">
        <v>21</v>
      </c>
      <c r="F73" s="89">
        <v>1</v>
      </c>
      <c r="G73" s="90">
        <v>4</v>
      </c>
      <c r="H73" s="90">
        <v>2</v>
      </c>
      <c r="I73" s="90">
        <v>4</v>
      </c>
      <c r="J73" s="90">
        <v>2</v>
      </c>
      <c r="K73" s="90">
        <v>0</v>
      </c>
      <c r="L73" s="91">
        <v>0</v>
      </c>
      <c r="M73" s="92">
        <v>1</v>
      </c>
      <c r="N73" s="92">
        <v>1</v>
      </c>
      <c r="O73" s="90">
        <v>140</v>
      </c>
      <c r="P73" s="93">
        <v>0</v>
      </c>
    </row>
    <row r="74" spans="2:16" x14ac:dyDescent="0.3">
      <c r="B74" s="86" t="s">
        <v>564</v>
      </c>
      <c r="C74" s="87" t="s">
        <v>111</v>
      </c>
      <c r="D74" s="88" t="s">
        <v>131</v>
      </c>
      <c r="E74" s="89" t="s">
        <v>21</v>
      </c>
      <c r="F74" s="89">
        <v>1</v>
      </c>
      <c r="G74" s="90">
        <v>4</v>
      </c>
      <c r="H74" s="90">
        <v>2</v>
      </c>
      <c r="I74" s="90">
        <v>0</v>
      </c>
      <c r="J74" s="90">
        <v>0</v>
      </c>
      <c r="K74" s="90">
        <v>4</v>
      </c>
      <c r="L74" s="91">
        <v>2</v>
      </c>
      <c r="M74" s="92">
        <v>0</v>
      </c>
      <c r="N74" s="92">
        <v>0</v>
      </c>
      <c r="O74" s="90">
        <v>0</v>
      </c>
      <c r="P74" s="93">
        <v>160</v>
      </c>
    </row>
    <row r="75" spans="2:16" x14ac:dyDescent="0.3">
      <c r="B75" s="86" t="s">
        <v>569</v>
      </c>
      <c r="C75" s="87" t="s">
        <v>56</v>
      </c>
      <c r="D75" s="88" t="s">
        <v>147</v>
      </c>
      <c r="E75" s="89" t="s">
        <v>35</v>
      </c>
      <c r="F75" s="89">
        <v>1</v>
      </c>
      <c r="G75" s="90">
        <v>6</v>
      </c>
      <c r="H75" s="90">
        <v>6</v>
      </c>
      <c r="I75" s="90">
        <v>0</v>
      </c>
      <c r="J75" s="90">
        <v>0</v>
      </c>
      <c r="K75" s="90">
        <v>6</v>
      </c>
      <c r="L75" s="91">
        <v>6</v>
      </c>
      <c r="M75" s="92">
        <v>0</v>
      </c>
      <c r="N75" s="92">
        <v>0</v>
      </c>
      <c r="O75" s="90">
        <v>0</v>
      </c>
      <c r="P75" s="93">
        <v>360</v>
      </c>
    </row>
    <row r="76" spans="2:16" x14ac:dyDescent="0.3">
      <c r="B76" s="86" t="s">
        <v>571</v>
      </c>
      <c r="C76" s="87" t="s">
        <v>31</v>
      </c>
      <c r="D76" s="88" t="s">
        <v>118</v>
      </c>
      <c r="E76" s="89" t="s">
        <v>21</v>
      </c>
      <c r="F76" s="89">
        <v>1</v>
      </c>
      <c r="G76" s="90">
        <v>4</v>
      </c>
      <c r="H76" s="90">
        <v>2</v>
      </c>
      <c r="I76" s="90">
        <v>0</v>
      </c>
      <c r="J76" s="90">
        <v>0</v>
      </c>
      <c r="K76" s="90">
        <v>4</v>
      </c>
      <c r="L76" s="91">
        <v>2</v>
      </c>
      <c r="M76" s="92">
        <v>0</v>
      </c>
      <c r="N76" s="92">
        <v>0</v>
      </c>
      <c r="O76" s="90">
        <v>0</v>
      </c>
      <c r="P76" s="93">
        <v>160</v>
      </c>
    </row>
    <row r="77" spans="2:16" x14ac:dyDescent="0.3">
      <c r="B77" s="86" t="s">
        <v>572</v>
      </c>
      <c r="C77" s="87" t="s">
        <v>24</v>
      </c>
      <c r="D77" s="88" t="s">
        <v>687</v>
      </c>
      <c r="E77" s="89" t="s">
        <v>28</v>
      </c>
      <c r="F77" s="89">
        <v>2</v>
      </c>
      <c r="G77" s="90">
        <v>16</v>
      </c>
      <c r="H77" s="90">
        <v>16</v>
      </c>
      <c r="I77" s="90">
        <v>12</v>
      </c>
      <c r="J77" s="90">
        <v>12</v>
      </c>
      <c r="K77" s="90">
        <v>4</v>
      </c>
      <c r="L77" s="91">
        <v>4</v>
      </c>
      <c r="M77" s="92">
        <v>0.75</v>
      </c>
      <c r="N77" s="92">
        <v>0.75</v>
      </c>
      <c r="O77" s="90">
        <v>600</v>
      </c>
      <c r="P77" s="93">
        <v>240</v>
      </c>
    </row>
    <row r="78" spans="2:16" x14ac:dyDescent="0.3">
      <c r="B78" s="86" t="s">
        <v>573</v>
      </c>
      <c r="C78" s="87" t="s">
        <v>63</v>
      </c>
      <c r="D78" s="88" t="s">
        <v>72</v>
      </c>
      <c r="E78" s="89" t="s">
        <v>35</v>
      </c>
      <c r="F78" s="89">
        <v>1</v>
      </c>
      <c r="G78" s="90">
        <v>6</v>
      </c>
      <c r="H78" s="90">
        <v>6</v>
      </c>
      <c r="I78" s="90">
        <v>0</v>
      </c>
      <c r="J78" s="90">
        <v>0</v>
      </c>
      <c r="K78" s="90">
        <v>6</v>
      </c>
      <c r="L78" s="91">
        <v>6</v>
      </c>
      <c r="M78" s="92">
        <v>0</v>
      </c>
      <c r="N78" s="92">
        <v>0</v>
      </c>
      <c r="O78" s="90">
        <v>0</v>
      </c>
      <c r="P78" s="93">
        <v>360</v>
      </c>
    </row>
    <row r="79" spans="2:16" x14ac:dyDescent="0.3">
      <c r="B79" s="86" t="s">
        <v>575</v>
      </c>
      <c r="C79" s="87" t="s">
        <v>20</v>
      </c>
      <c r="D79" s="88" t="s">
        <v>137</v>
      </c>
      <c r="E79" s="89" t="s">
        <v>28</v>
      </c>
      <c r="F79" s="89">
        <v>1</v>
      </c>
      <c r="G79" s="90">
        <v>8</v>
      </c>
      <c r="H79" s="90">
        <v>8</v>
      </c>
      <c r="I79" s="90">
        <v>0</v>
      </c>
      <c r="J79" s="90">
        <v>0</v>
      </c>
      <c r="K79" s="90">
        <v>8</v>
      </c>
      <c r="L79" s="91">
        <v>8</v>
      </c>
      <c r="M79" s="92">
        <v>0</v>
      </c>
      <c r="N79" s="92">
        <v>0</v>
      </c>
      <c r="O79" s="90">
        <v>0</v>
      </c>
      <c r="P79" s="93">
        <v>480</v>
      </c>
    </row>
    <row r="80" spans="2:16" x14ac:dyDescent="0.3">
      <c r="B80" s="86" t="s">
        <v>577</v>
      </c>
      <c r="C80" s="87" t="s">
        <v>24</v>
      </c>
      <c r="D80" s="88" t="s">
        <v>166</v>
      </c>
      <c r="E80" s="89" t="s">
        <v>21</v>
      </c>
      <c r="F80" s="89">
        <v>1</v>
      </c>
      <c r="G80" s="90">
        <v>4</v>
      </c>
      <c r="H80" s="90">
        <v>2</v>
      </c>
      <c r="I80" s="90">
        <v>2</v>
      </c>
      <c r="J80" s="90">
        <v>1</v>
      </c>
      <c r="K80" s="90">
        <v>2</v>
      </c>
      <c r="L80" s="91">
        <v>1</v>
      </c>
      <c r="M80" s="92">
        <v>0.5</v>
      </c>
      <c r="N80" s="92">
        <v>0.5</v>
      </c>
      <c r="O80" s="90">
        <v>40</v>
      </c>
      <c r="P80" s="93">
        <v>80</v>
      </c>
    </row>
    <row r="81" spans="2:16" x14ac:dyDescent="0.3">
      <c r="B81" s="86" t="s">
        <v>533</v>
      </c>
      <c r="C81" s="87" t="s">
        <v>31</v>
      </c>
      <c r="D81" s="88" t="s">
        <v>182</v>
      </c>
      <c r="E81" s="89" t="s">
        <v>21</v>
      </c>
      <c r="F81" s="89">
        <v>1</v>
      </c>
      <c r="G81" s="90">
        <v>4</v>
      </c>
      <c r="H81" s="90">
        <v>2</v>
      </c>
      <c r="I81" s="90">
        <v>2</v>
      </c>
      <c r="J81" s="90">
        <v>2</v>
      </c>
      <c r="K81" s="90">
        <v>2</v>
      </c>
      <c r="L81" s="91">
        <v>0</v>
      </c>
      <c r="M81" s="92">
        <v>0.5</v>
      </c>
      <c r="N81" s="92">
        <v>1</v>
      </c>
      <c r="O81" s="90">
        <v>0</v>
      </c>
      <c r="P81" s="93">
        <v>40</v>
      </c>
    </row>
    <row r="82" spans="2:16" x14ac:dyDescent="0.3">
      <c r="B82" s="86" t="s">
        <v>578</v>
      </c>
      <c r="C82" s="87" t="s">
        <v>31</v>
      </c>
      <c r="D82" s="88" t="s">
        <v>688</v>
      </c>
      <c r="E82" s="89" t="s">
        <v>28</v>
      </c>
      <c r="F82" s="89">
        <v>1</v>
      </c>
      <c r="G82" s="90">
        <v>8</v>
      </c>
      <c r="H82" s="90">
        <v>8</v>
      </c>
      <c r="I82" s="90">
        <v>0</v>
      </c>
      <c r="J82" s="90">
        <v>0</v>
      </c>
      <c r="K82" s="90">
        <v>8</v>
      </c>
      <c r="L82" s="91">
        <v>8</v>
      </c>
      <c r="M82" s="92">
        <v>0</v>
      </c>
      <c r="N82" s="92">
        <v>0</v>
      </c>
      <c r="O82" s="90">
        <v>0</v>
      </c>
      <c r="P82" s="93">
        <v>480</v>
      </c>
    </row>
    <row r="83" spans="2:16" x14ac:dyDescent="0.3">
      <c r="B83" s="86" t="s">
        <v>580</v>
      </c>
      <c r="C83" s="87" t="s">
        <v>31</v>
      </c>
      <c r="D83" s="88" t="s">
        <v>247</v>
      </c>
      <c r="E83" s="89" t="s">
        <v>21</v>
      </c>
      <c r="F83" s="89">
        <v>1</v>
      </c>
      <c r="G83" s="90">
        <v>4</v>
      </c>
      <c r="H83" s="90">
        <v>2</v>
      </c>
      <c r="I83" s="90">
        <v>0</v>
      </c>
      <c r="J83" s="90">
        <v>0</v>
      </c>
      <c r="K83" s="90">
        <v>4</v>
      </c>
      <c r="L83" s="91">
        <v>2</v>
      </c>
      <c r="M83" s="92">
        <v>0</v>
      </c>
      <c r="N83" s="92">
        <v>0</v>
      </c>
      <c r="O83" s="90">
        <v>0</v>
      </c>
      <c r="P83" s="93">
        <v>160</v>
      </c>
    </row>
    <row r="84" spans="2:16" x14ac:dyDescent="0.3">
      <c r="B84" s="86" t="s">
        <v>582</v>
      </c>
      <c r="C84" s="87" t="s">
        <v>31</v>
      </c>
      <c r="D84" s="88" t="s">
        <v>223</v>
      </c>
      <c r="E84" s="89" t="s">
        <v>21</v>
      </c>
      <c r="F84" s="89">
        <v>1</v>
      </c>
      <c r="G84" s="90">
        <v>4</v>
      </c>
      <c r="H84" s="90">
        <v>2</v>
      </c>
      <c r="I84" s="90">
        <v>0</v>
      </c>
      <c r="J84" s="90">
        <v>0</v>
      </c>
      <c r="K84" s="90">
        <v>4</v>
      </c>
      <c r="L84" s="91">
        <v>2</v>
      </c>
      <c r="M84" s="92">
        <v>0</v>
      </c>
      <c r="N84" s="92">
        <v>0</v>
      </c>
      <c r="O84" s="90">
        <v>0</v>
      </c>
      <c r="P84" s="93">
        <v>160</v>
      </c>
    </row>
    <row r="85" spans="2:16" x14ac:dyDescent="0.3">
      <c r="B85" s="86" t="s">
        <v>546</v>
      </c>
      <c r="C85" s="87" t="s">
        <v>24</v>
      </c>
      <c r="D85" s="88" t="s">
        <v>211</v>
      </c>
      <c r="E85" s="89" t="s">
        <v>28</v>
      </c>
      <c r="F85" s="89">
        <v>2</v>
      </c>
      <c r="G85" s="90">
        <v>16</v>
      </c>
      <c r="H85" s="90">
        <v>16</v>
      </c>
      <c r="I85" s="90">
        <v>0</v>
      </c>
      <c r="J85" s="90">
        <v>0</v>
      </c>
      <c r="K85" s="90">
        <v>16</v>
      </c>
      <c r="L85" s="91">
        <v>16</v>
      </c>
      <c r="M85" s="92">
        <v>0</v>
      </c>
      <c r="N85" s="92">
        <v>0</v>
      </c>
      <c r="O85" s="90">
        <v>0</v>
      </c>
      <c r="P85" s="93">
        <v>960</v>
      </c>
    </row>
    <row r="86" spans="2:16" x14ac:dyDescent="0.3">
      <c r="B86" s="86" t="s">
        <v>152</v>
      </c>
      <c r="C86" s="87" t="s">
        <v>24</v>
      </c>
      <c r="D86" s="88" t="s">
        <v>221</v>
      </c>
      <c r="E86" s="89" t="s">
        <v>28</v>
      </c>
      <c r="F86" s="89">
        <v>1</v>
      </c>
      <c r="G86" s="90">
        <v>8</v>
      </c>
      <c r="H86" s="90">
        <v>8</v>
      </c>
      <c r="I86" s="90">
        <v>0</v>
      </c>
      <c r="J86" s="96">
        <v>4</v>
      </c>
      <c r="K86" s="90">
        <v>8</v>
      </c>
      <c r="L86" s="91">
        <v>4</v>
      </c>
      <c r="M86" s="92">
        <v>0</v>
      </c>
      <c r="N86" s="92">
        <v>0.5</v>
      </c>
      <c r="O86" s="90">
        <v>0</v>
      </c>
      <c r="P86" s="93">
        <v>320</v>
      </c>
    </row>
    <row r="87" spans="2:16" x14ac:dyDescent="0.3">
      <c r="B87" s="86" t="s">
        <v>584</v>
      </c>
      <c r="C87" s="87" t="s">
        <v>20</v>
      </c>
      <c r="D87" s="88" t="s">
        <v>196</v>
      </c>
      <c r="E87" s="89" t="s">
        <v>21</v>
      </c>
      <c r="F87" s="89">
        <v>1</v>
      </c>
      <c r="G87" s="90">
        <v>4</v>
      </c>
      <c r="H87" s="90">
        <v>2</v>
      </c>
      <c r="I87" s="90">
        <v>0</v>
      </c>
      <c r="J87" s="90">
        <v>0</v>
      </c>
      <c r="K87" s="90">
        <v>4</v>
      </c>
      <c r="L87" s="91">
        <v>2</v>
      </c>
      <c r="M87" s="92">
        <v>0</v>
      </c>
      <c r="N87" s="92">
        <v>0</v>
      </c>
      <c r="O87" s="90">
        <v>0</v>
      </c>
      <c r="P87" s="93">
        <v>160</v>
      </c>
    </row>
    <row r="88" spans="2:16" x14ac:dyDescent="0.3">
      <c r="B88" s="86" t="s">
        <v>496</v>
      </c>
      <c r="C88" s="87" t="s">
        <v>34</v>
      </c>
      <c r="D88" s="88" t="s">
        <v>237</v>
      </c>
      <c r="E88" s="89" t="s">
        <v>35</v>
      </c>
      <c r="F88" s="89">
        <v>1</v>
      </c>
      <c r="G88" s="90">
        <v>6</v>
      </c>
      <c r="H88" s="90">
        <v>6</v>
      </c>
      <c r="I88" s="90">
        <v>0</v>
      </c>
      <c r="J88" s="90">
        <v>0</v>
      </c>
      <c r="K88" s="90">
        <v>6</v>
      </c>
      <c r="L88" s="91">
        <v>6</v>
      </c>
      <c r="M88" s="92">
        <v>0</v>
      </c>
      <c r="N88" s="92">
        <v>0</v>
      </c>
      <c r="O88" s="90">
        <v>0</v>
      </c>
      <c r="P88" s="93">
        <v>360</v>
      </c>
    </row>
    <row r="89" spans="2:16" x14ac:dyDescent="0.3">
      <c r="B89" s="86" t="s">
        <v>555</v>
      </c>
      <c r="C89" s="87" t="s">
        <v>92</v>
      </c>
      <c r="D89" s="88" t="s">
        <v>199</v>
      </c>
      <c r="E89" s="89" t="s">
        <v>21</v>
      </c>
      <c r="F89" s="89">
        <v>1</v>
      </c>
      <c r="G89" s="90">
        <v>4</v>
      </c>
      <c r="H89" s="90">
        <v>2</v>
      </c>
      <c r="I89" s="90">
        <v>0</v>
      </c>
      <c r="J89" s="90">
        <v>0</v>
      </c>
      <c r="K89" s="90">
        <v>4</v>
      </c>
      <c r="L89" s="91">
        <v>2</v>
      </c>
      <c r="M89" s="92">
        <v>0</v>
      </c>
      <c r="N89" s="92">
        <v>0</v>
      </c>
      <c r="O89" s="90">
        <v>0</v>
      </c>
      <c r="P89" s="93">
        <v>160</v>
      </c>
    </row>
    <row r="90" spans="2:16" x14ac:dyDescent="0.3">
      <c r="B90" s="86" t="s">
        <v>67</v>
      </c>
      <c r="C90" s="87" t="s">
        <v>27</v>
      </c>
      <c r="D90" s="88" t="s">
        <v>203</v>
      </c>
      <c r="E90" s="89" t="s">
        <v>21</v>
      </c>
      <c r="F90" s="89">
        <v>1</v>
      </c>
      <c r="G90" s="90">
        <v>4</v>
      </c>
      <c r="H90" s="90">
        <v>2</v>
      </c>
      <c r="I90" s="90">
        <v>2</v>
      </c>
      <c r="J90" s="90">
        <v>2</v>
      </c>
      <c r="K90" s="90">
        <v>2</v>
      </c>
      <c r="L90" s="91">
        <v>0</v>
      </c>
      <c r="M90" s="92">
        <v>0.5</v>
      </c>
      <c r="N90" s="92">
        <v>1</v>
      </c>
      <c r="O90" s="90">
        <v>16</v>
      </c>
      <c r="P90" s="93">
        <v>40</v>
      </c>
    </row>
    <row r="91" spans="2:16" x14ac:dyDescent="0.3">
      <c r="B91" s="86" t="s">
        <v>588</v>
      </c>
      <c r="C91" s="87" t="s">
        <v>27</v>
      </c>
      <c r="D91" s="88" t="s">
        <v>190</v>
      </c>
      <c r="E91" s="89" t="s">
        <v>21</v>
      </c>
      <c r="F91" s="89">
        <v>1</v>
      </c>
      <c r="G91" s="90">
        <v>4</v>
      </c>
      <c r="H91" s="90">
        <v>2</v>
      </c>
      <c r="I91" s="90">
        <v>0</v>
      </c>
      <c r="J91" s="90">
        <v>0</v>
      </c>
      <c r="K91" s="90">
        <v>4</v>
      </c>
      <c r="L91" s="91">
        <v>2</v>
      </c>
      <c r="M91" s="92">
        <v>0</v>
      </c>
      <c r="N91" s="92">
        <v>0</v>
      </c>
      <c r="O91" s="90">
        <v>0</v>
      </c>
      <c r="P91" s="93">
        <v>160</v>
      </c>
    </row>
    <row r="92" spans="2:16" x14ac:dyDescent="0.3">
      <c r="B92" s="86" t="s">
        <v>590</v>
      </c>
      <c r="C92" s="87" t="s">
        <v>27</v>
      </c>
      <c r="D92" s="88" t="s">
        <v>217</v>
      </c>
      <c r="E92" s="89" t="s">
        <v>21</v>
      </c>
      <c r="F92" s="89">
        <v>1</v>
      </c>
      <c r="G92" s="90">
        <v>4</v>
      </c>
      <c r="H92" s="90">
        <v>2</v>
      </c>
      <c r="I92" s="90">
        <v>1</v>
      </c>
      <c r="J92" s="90">
        <v>0</v>
      </c>
      <c r="K92" s="90">
        <v>3</v>
      </c>
      <c r="L92" s="91">
        <v>2</v>
      </c>
      <c r="M92" s="92">
        <v>0.25</v>
      </c>
      <c r="N92" s="92">
        <v>0</v>
      </c>
      <c r="O92" s="90">
        <v>0</v>
      </c>
      <c r="P92" s="93">
        <v>140</v>
      </c>
    </row>
    <row r="93" spans="2:16" x14ac:dyDescent="0.3">
      <c r="B93" s="86" t="s">
        <v>592</v>
      </c>
      <c r="C93" s="87" t="s">
        <v>63</v>
      </c>
      <c r="D93" s="88" t="s">
        <v>180</v>
      </c>
      <c r="E93" s="89" t="s">
        <v>21</v>
      </c>
      <c r="F93" s="89">
        <v>1</v>
      </c>
      <c r="G93" s="90">
        <v>4</v>
      </c>
      <c r="H93" s="90">
        <v>2</v>
      </c>
      <c r="I93" s="90">
        <v>1</v>
      </c>
      <c r="J93" s="90">
        <v>1</v>
      </c>
      <c r="K93" s="90">
        <v>3</v>
      </c>
      <c r="L93" s="91">
        <v>1</v>
      </c>
      <c r="M93" s="92">
        <v>0.25</v>
      </c>
      <c r="N93" s="92">
        <v>0.5</v>
      </c>
      <c r="O93" s="90">
        <v>60</v>
      </c>
      <c r="P93" s="93">
        <v>100</v>
      </c>
    </row>
    <row r="94" spans="2:16" x14ac:dyDescent="0.3">
      <c r="B94" s="86" t="s">
        <v>491</v>
      </c>
      <c r="C94" s="87" t="s">
        <v>24</v>
      </c>
      <c r="D94" s="88" t="s">
        <v>251</v>
      </c>
      <c r="E94" s="89" t="s">
        <v>28</v>
      </c>
      <c r="F94" s="89">
        <v>4</v>
      </c>
      <c r="G94" s="90">
        <v>32</v>
      </c>
      <c r="H94" s="90">
        <v>32</v>
      </c>
      <c r="I94" s="90">
        <v>32</v>
      </c>
      <c r="J94" s="90">
        <v>31</v>
      </c>
      <c r="K94" s="90">
        <v>0</v>
      </c>
      <c r="L94" s="91">
        <v>1</v>
      </c>
      <c r="M94" s="92">
        <v>1</v>
      </c>
      <c r="N94" s="92">
        <v>0.96875</v>
      </c>
      <c r="O94" s="90">
        <v>1547</v>
      </c>
      <c r="P94" s="93">
        <v>40</v>
      </c>
    </row>
    <row r="95" spans="2:16" x14ac:dyDescent="0.3">
      <c r="B95" s="86" t="s">
        <v>593</v>
      </c>
      <c r="C95" s="87" t="s">
        <v>24</v>
      </c>
      <c r="D95" s="88" t="s">
        <v>235</v>
      </c>
      <c r="E95" s="89" t="s">
        <v>21</v>
      </c>
      <c r="F95" s="89">
        <v>1</v>
      </c>
      <c r="G95" s="90">
        <v>4</v>
      </c>
      <c r="H95" s="90">
        <v>2</v>
      </c>
      <c r="I95" s="90">
        <v>0</v>
      </c>
      <c r="J95" s="90">
        <v>0</v>
      </c>
      <c r="K95" s="90">
        <v>4</v>
      </c>
      <c r="L95" s="91">
        <v>2</v>
      </c>
      <c r="M95" s="92">
        <v>0</v>
      </c>
      <c r="N95" s="92">
        <v>0</v>
      </c>
      <c r="O95" s="90">
        <v>0</v>
      </c>
      <c r="P95" s="93">
        <v>160</v>
      </c>
    </row>
    <row r="96" spans="2:16" x14ac:dyDescent="0.3">
      <c r="B96" s="86" t="s">
        <v>161</v>
      </c>
      <c r="C96" s="87" t="s">
        <v>24</v>
      </c>
      <c r="D96" s="88" t="s">
        <v>229</v>
      </c>
      <c r="E96" s="89" t="s">
        <v>21</v>
      </c>
      <c r="F96" s="89">
        <v>1</v>
      </c>
      <c r="G96" s="90">
        <v>4</v>
      </c>
      <c r="H96" s="90">
        <v>2</v>
      </c>
      <c r="I96" s="90">
        <v>0</v>
      </c>
      <c r="J96" s="90">
        <v>0</v>
      </c>
      <c r="K96" s="90">
        <v>4</v>
      </c>
      <c r="L96" s="91">
        <v>2</v>
      </c>
      <c r="M96" s="92">
        <v>0</v>
      </c>
      <c r="N96" s="92">
        <v>0</v>
      </c>
      <c r="O96" s="90">
        <v>0</v>
      </c>
      <c r="P96" s="93">
        <v>160</v>
      </c>
    </row>
    <row r="97" spans="2:16" x14ac:dyDescent="0.3">
      <c r="B97" s="86" t="s">
        <v>595</v>
      </c>
      <c r="C97" s="87" t="s">
        <v>20</v>
      </c>
      <c r="D97" s="88" t="s">
        <v>231</v>
      </c>
      <c r="E97" s="89" t="s">
        <v>35</v>
      </c>
      <c r="F97" s="89">
        <v>1</v>
      </c>
      <c r="G97" s="90">
        <v>6</v>
      </c>
      <c r="H97" s="90">
        <v>6</v>
      </c>
      <c r="I97" s="90">
        <v>2</v>
      </c>
      <c r="J97" s="90">
        <v>2</v>
      </c>
      <c r="K97" s="90">
        <v>4</v>
      </c>
      <c r="L97" s="91">
        <v>4</v>
      </c>
      <c r="M97" s="92">
        <v>0.33333333333333331</v>
      </c>
      <c r="N97" s="92">
        <v>0.33333333333333331</v>
      </c>
      <c r="O97" s="90">
        <v>120</v>
      </c>
      <c r="P97" s="93">
        <v>240</v>
      </c>
    </row>
    <row r="98" spans="2:16" x14ac:dyDescent="0.3">
      <c r="B98" s="86" t="s">
        <v>514</v>
      </c>
      <c r="C98" s="87" t="s">
        <v>24</v>
      </c>
      <c r="D98" s="88" t="s">
        <v>257</v>
      </c>
      <c r="E98" s="89" t="s">
        <v>35</v>
      </c>
      <c r="F98" s="89">
        <v>1</v>
      </c>
      <c r="G98" s="90">
        <v>6</v>
      </c>
      <c r="H98" s="90">
        <v>6</v>
      </c>
      <c r="I98" s="90">
        <v>0</v>
      </c>
      <c r="J98" s="90">
        <v>3</v>
      </c>
      <c r="K98" s="90">
        <v>6</v>
      </c>
      <c r="L98" s="91">
        <v>3</v>
      </c>
      <c r="M98" s="92">
        <v>0</v>
      </c>
      <c r="N98" s="92">
        <v>0.5</v>
      </c>
      <c r="O98" s="90">
        <v>120</v>
      </c>
      <c r="P98" s="93">
        <v>240</v>
      </c>
    </row>
    <row r="99" spans="2:16" x14ac:dyDescent="0.3">
      <c r="B99" s="86" t="s">
        <v>596</v>
      </c>
      <c r="C99" s="87" t="s">
        <v>24</v>
      </c>
      <c r="D99" s="88" t="s">
        <v>689</v>
      </c>
      <c r="E99" s="89" t="s">
        <v>28</v>
      </c>
      <c r="F99" s="89">
        <v>1</v>
      </c>
      <c r="G99" s="90">
        <v>8</v>
      </c>
      <c r="H99" s="90">
        <v>8</v>
      </c>
      <c r="I99" s="90">
        <v>0</v>
      </c>
      <c r="J99" s="90">
        <v>0</v>
      </c>
      <c r="K99" s="90">
        <v>8</v>
      </c>
      <c r="L99" s="91">
        <v>8</v>
      </c>
      <c r="M99" s="92">
        <v>0</v>
      </c>
      <c r="N99" s="92">
        <v>0</v>
      </c>
      <c r="O99" s="90">
        <v>0</v>
      </c>
      <c r="P99" s="93">
        <v>480</v>
      </c>
    </row>
    <row r="100" spans="2:16" x14ac:dyDescent="0.3">
      <c r="B100" s="86" t="s">
        <v>549</v>
      </c>
      <c r="C100" s="87" t="s">
        <v>63</v>
      </c>
      <c r="D100" s="88" t="s">
        <v>186</v>
      </c>
      <c r="E100" s="89" t="s">
        <v>21</v>
      </c>
      <c r="F100" s="89">
        <v>1</v>
      </c>
      <c r="G100" s="90">
        <v>4</v>
      </c>
      <c r="H100" s="90">
        <v>2</v>
      </c>
      <c r="I100" s="90">
        <v>1</v>
      </c>
      <c r="J100" s="90">
        <v>1</v>
      </c>
      <c r="K100" s="90">
        <v>3</v>
      </c>
      <c r="L100" s="91">
        <v>1</v>
      </c>
      <c r="M100" s="92">
        <v>0.25</v>
      </c>
      <c r="N100" s="92">
        <v>0.5</v>
      </c>
      <c r="O100" s="90">
        <v>0</v>
      </c>
      <c r="P100" s="93">
        <v>100</v>
      </c>
    </row>
    <row r="101" spans="2:16" x14ac:dyDescent="0.3">
      <c r="B101" s="86" t="s">
        <v>599</v>
      </c>
      <c r="C101" s="87" t="s">
        <v>63</v>
      </c>
      <c r="D101" s="88" t="s">
        <v>172</v>
      </c>
      <c r="E101" s="89" t="s">
        <v>35</v>
      </c>
      <c r="F101" s="89">
        <v>2</v>
      </c>
      <c r="G101" s="90">
        <v>12</v>
      </c>
      <c r="H101" s="90">
        <v>12</v>
      </c>
      <c r="I101" s="90">
        <v>0</v>
      </c>
      <c r="J101" s="90">
        <v>0</v>
      </c>
      <c r="K101" s="90">
        <v>12</v>
      </c>
      <c r="L101" s="91">
        <v>12</v>
      </c>
      <c r="M101" s="92">
        <v>0</v>
      </c>
      <c r="N101" s="92">
        <v>0</v>
      </c>
      <c r="O101" s="90">
        <v>0</v>
      </c>
      <c r="P101" s="93">
        <v>720</v>
      </c>
    </row>
    <row r="102" spans="2:16" x14ac:dyDescent="0.3">
      <c r="B102" s="86" t="s">
        <v>558</v>
      </c>
      <c r="C102" s="87" t="s">
        <v>63</v>
      </c>
      <c r="D102" s="88" t="s">
        <v>209</v>
      </c>
      <c r="E102" s="89" t="s">
        <v>21</v>
      </c>
      <c r="F102" s="89">
        <v>1</v>
      </c>
      <c r="G102" s="90">
        <v>4</v>
      </c>
      <c r="H102" s="90">
        <v>2</v>
      </c>
      <c r="I102" s="90">
        <v>0</v>
      </c>
      <c r="J102" s="90">
        <v>0</v>
      </c>
      <c r="K102" s="90">
        <v>4</v>
      </c>
      <c r="L102" s="91">
        <v>2</v>
      </c>
      <c r="M102" s="92">
        <v>0</v>
      </c>
      <c r="N102" s="92">
        <v>0</v>
      </c>
      <c r="O102" s="90">
        <v>0</v>
      </c>
      <c r="P102" s="93">
        <v>160</v>
      </c>
    </row>
    <row r="103" spans="2:16" x14ac:dyDescent="0.3">
      <c r="B103" s="86" t="s">
        <v>600</v>
      </c>
      <c r="C103" s="87" t="s">
        <v>63</v>
      </c>
      <c r="D103" s="88" t="s">
        <v>178</v>
      </c>
      <c r="E103" s="89" t="s">
        <v>35</v>
      </c>
      <c r="F103" s="89">
        <v>1</v>
      </c>
      <c r="G103" s="90">
        <v>6</v>
      </c>
      <c r="H103" s="90">
        <v>6</v>
      </c>
      <c r="I103" s="90">
        <v>2</v>
      </c>
      <c r="J103" s="90">
        <v>0</v>
      </c>
      <c r="K103" s="90">
        <v>4</v>
      </c>
      <c r="L103" s="91">
        <v>6</v>
      </c>
      <c r="M103" s="92">
        <v>0.33333333333333331</v>
      </c>
      <c r="N103" s="92">
        <v>0</v>
      </c>
      <c r="O103" s="90">
        <v>0</v>
      </c>
      <c r="P103" s="93">
        <v>320</v>
      </c>
    </row>
    <row r="104" spans="2:16" x14ac:dyDescent="0.3">
      <c r="B104" s="86" t="s">
        <v>602</v>
      </c>
      <c r="C104" s="87" t="s">
        <v>63</v>
      </c>
      <c r="D104" s="88" t="s">
        <v>690</v>
      </c>
      <c r="E104" s="89" t="s">
        <v>21</v>
      </c>
      <c r="F104" s="89">
        <v>1</v>
      </c>
      <c r="G104" s="90">
        <v>4</v>
      </c>
      <c r="H104" s="90">
        <v>2</v>
      </c>
      <c r="I104" s="90">
        <v>0</v>
      </c>
      <c r="J104" s="90">
        <v>1</v>
      </c>
      <c r="K104" s="90">
        <v>4</v>
      </c>
      <c r="L104" s="91">
        <v>1</v>
      </c>
      <c r="M104" s="92">
        <v>0</v>
      </c>
      <c r="N104" s="92">
        <v>0.5</v>
      </c>
      <c r="O104" s="90">
        <v>0</v>
      </c>
      <c r="P104" s="93">
        <v>120</v>
      </c>
    </row>
    <row r="105" spans="2:16" x14ac:dyDescent="0.3">
      <c r="B105" s="86" t="s">
        <v>536</v>
      </c>
      <c r="C105" s="87" t="s">
        <v>20</v>
      </c>
      <c r="D105" s="88" t="s">
        <v>253</v>
      </c>
      <c r="E105" s="89" t="s">
        <v>28</v>
      </c>
      <c r="F105" s="89">
        <v>2</v>
      </c>
      <c r="G105" s="90">
        <v>16</v>
      </c>
      <c r="H105" s="90">
        <v>16</v>
      </c>
      <c r="I105" s="90">
        <v>5</v>
      </c>
      <c r="J105" s="90">
        <v>4</v>
      </c>
      <c r="K105" s="90">
        <v>11</v>
      </c>
      <c r="L105" s="91">
        <v>12</v>
      </c>
      <c r="M105" s="92">
        <v>0.3125</v>
      </c>
      <c r="N105" s="92">
        <v>0.25</v>
      </c>
      <c r="O105" s="90">
        <v>55</v>
      </c>
      <c r="P105" s="93">
        <v>700</v>
      </c>
    </row>
    <row r="106" spans="2:16" x14ac:dyDescent="0.3">
      <c r="B106" s="86" t="s">
        <v>559</v>
      </c>
      <c r="C106" s="87" t="s">
        <v>63</v>
      </c>
      <c r="D106" s="88" t="s">
        <v>176</v>
      </c>
      <c r="E106" s="89" t="s">
        <v>21</v>
      </c>
      <c r="F106" s="89">
        <v>1</v>
      </c>
      <c r="G106" s="90">
        <v>4</v>
      </c>
      <c r="H106" s="90">
        <v>2</v>
      </c>
      <c r="I106" s="90">
        <v>2</v>
      </c>
      <c r="J106" s="90">
        <v>2</v>
      </c>
      <c r="K106" s="90">
        <v>2</v>
      </c>
      <c r="L106" s="91">
        <v>0</v>
      </c>
      <c r="M106" s="92">
        <v>0.5</v>
      </c>
      <c r="N106" s="92">
        <v>1</v>
      </c>
      <c r="O106" s="90">
        <v>0</v>
      </c>
      <c r="P106" s="93">
        <v>40</v>
      </c>
    </row>
    <row r="107" spans="2:16" x14ac:dyDescent="0.3">
      <c r="B107" s="86" t="s">
        <v>606</v>
      </c>
      <c r="C107" s="87" t="s">
        <v>63</v>
      </c>
      <c r="D107" s="88" t="s">
        <v>691</v>
      </c>
      <c r="E107" s="89" t="s">
        <v>35</v>
      </c>
      <c r="F107" s="89">
        <v>1</v>
      </c>
      <c r="G107" s="90">
        <v>6</v>
      </c>
      <c r="H107" s="90">
        <v>6</v>
      </c>
      <c r="I107" s="90">
        <v>0</v>
      </c>
      <c r="J107" s="90">
        <v>0</v>
      </c>
      <c r="K107" s="90">
        <v>6</v>
      </c>
      <c r="L107" s="91">
        <v>6</v>
      </c>
      <c r="M107" s="92">
        <v>0</v>
      </c>
      <c r="N107" s="92">
        <v>0</v>
      </c>
      <c r="O107" s="90">
        <v>0</v>
      </c>
      <c r="P107" s="93">
        <v>360</v>
      </c>
    </row>
    <row r="108" spans="2:16" x14ac:dyDescent="0.3">
      <c r="B108" s="86" t="s">
        <v>497</v>
      </c>
      <c r="C108" s="87" t="s">
        <v>34</v>
      </c>
      <c r="D108" s="88" t="s">
        <v>174</v>
      </c>
      <c r="E108" s="89" t="s">
        <v>21</v>
      </c>
      <c r="F108" s="89">
        <v>2</v>
      </c>
      <c r="G108" s="90">
        <v>8</v>
      </c>
      <c r="H108" s="90">
        <v>4</v>
      </c>
      <c r="I108" s="90">
        <v>2</v>
      </c>
      <c r="J108" s="90">
        <v>0</v>
      </c>
      <c r="K108" s="90">
        <v>6</v>
      </c>
      <c r="L108" s="91">
        <v>4</v>
      </c>
      <c r="M108" s="92">
        <v>0.25</v>
      </c>
      <c r="N108" s="92">
        <v>0</v>
      </c>
      <c r="O108" s="90">
        <v>0</v>
      </c>
      <c r="P108" s="93">
        <v>280</v>
      </c>
    </row>
    <row r="109" spans="2:16" x14ac:dyDescent="0.3">
      <c r="B109" s="86" t="s">
        <v>607</v>
      </c>
      <c r="C109" s="87" t="s">
        <v>34</v>
      </c>
      <c r="D109" s="88" t="s">
        <v>205</v>
      </c>
      <c r="E109" s="89" t="s">
        <v>21</v>
      </c>
      <c r="F109" s="89">
        <v>1</v>
      </c>
      <c r="G109" s="90">
        <v>4</v>
      </c>
      <c r="H109" s="90">
        <v>2</v>
      </c>
      <c r="I109" s="90">
        <v>2</v>
      </c>
      <c r="J109" s="90">
        <v>0</v>
      </c>
      <c r="K109" s="90">
        <v>2</v>
      </c>
      <c r="L109" s="91">
        <v>2</v>
      </c>
      <c r="M109" s="92">
        <v>0.5</v>
      </c>
      <c r="N109" s="92">
        <v>0</v>
      </c>
      <c r="O109" s="90">
        <v>0</v>
      </c>
      <c r="P109" s="93">
        <v>120</v>
      </c>
    </row>
    <row r="110" spans="2:16" x14ac:dyDescent="0.3">
      <c r="B110" s="86" t="s">
        <v>541</v>
      </c>
      <c r="C110" s="87" t="s">
        <v>31</v>
      </c>
      <c r="D110" s="88" t="s">
        <v>219</v>
      </c>
      <c r="E110" s="89" t="s">
        <v>21</v>
      </c>
      <c r="F110" s="89">
        <v>2</v>
      </c>
      <c r="G110" s="90">
        <v>8</v>
      </c>
      <c r="H110" s="90">
        <v>4</v>
      </c>
      <c r="I110" s="90">
        <v>0</v>
      </c>
      <c r="J110" s="90">
        <v>0</v>
      </c>
      <c r="K110" s="90">
        <v>8</v>
      </c>
      <c r="L110" s="91">
        <v>4</v>
      </c>
      <c r="M110" s="92">
        <v>0</v>
      </c>
      <c r="N110" s="92">
        <v>0</v>
      </c>
      <c r="O110" s="90">
        <v>0</v>
      </c>
      <c r="P110" s="93">
        <v>320</v>
      </c>
    </row>
    <row r="111" spans="2:16" x14ac:dyDescent="0.3">
      <c r="B111" s="86" t="s">
        <v>531</v>
      </c>
      <c r="C111" s="87" t="s">
        <v>31</v>
      </c>
      <c r="D111" s="88" t="s">
        <v>225</v>
      </c>
      <c r="E111" s="89" t="s">
        <v>35</v>
      </c>
      <c r="F111" s="89">
        <v>2</v>
      </c>
      <c r="G111" s="90">
        <v>12</v>
      </c>
      <c r="H111" s="90">
        <v>12</v>
      </c>
      <c r="I111" s="90">
        <v>0</v>
      </c>
      <c r="J111" s="90">
        <v>0</v>
      </c>
      <c r="K111" s="90">
        <v>12</v>
      </c>
      <c r="L111" s="91">
        <v>12</v>
      </c>
      <c r="M111" s="92">
        <v>0</v>
      </c>
      <c r="N111" s="92">
        <v>0</v>
      </c>
      <c r="O111" s="90">
        <v>0</v>
      </c>
      <c r="P111" s="93">
        <v>720</v>
      </c>
    </row>
    <row r="112" spans="2:16" x14ac:dyDescent="0.3">
      <c r="B112" s="86" t="s">
        <v>566</v>
      </c>
      <c r="C112" s="87" t="s">
        <v>31</v>
      </c>
      <c r="D112" s="88" t="s">
        <v>192</v>
      </c>
      <c r="E112" s="89" t="s">
        <v>21</v>
      </c>
      <c r="F112" s="89">
        <v>1</v>
      </c>
      <c r="G112" s="90">
        <v>4</v>
      </c>
      <c r="H112" s="90">
        <v>2</v>
      </c>
      <c r="I112" s="90">
        <v>2</v>
      </c>
      <c r="J112" s="90">
        <v>2</v>
      </c>
      <c r="K112" s="90">
        <v>2</v>
      </c>
      <c r="L112" s="91">
        <v>0</v>
      </c>
      <c r="M112" s="92">
        <v>0.5</v>
      </c>
      <c r="N112" s="92">
        <v>1</v>
      </c>
      <c r="O112" s="90">
        <v>0</v>
      </c>
      <c r="P112" s="93">
        <v>40</v>
      </c>
    </row>
    <row r="113" spans="2:16" x14ac:dyDescent="0.3">
      <c r="B113" s="86" t="s">
        <v>610</v>
      </c>
      <c r="C113" s="87" t="s">
        <v>31</v>
      </c>
      <c r="D113" s="88" t="s">
        <v>245</v>
      </c>
      <c r="E113" s="89" t="s">
        <v>21</v>
      </c>
      <c r="F113" s="89">
        <v>2</v>
      </c>
      <c r="G113" s="90">
        <v>8</v>
      </c>
      <c r="H113" s="90">
        <v>4</v>
      </c>
      <c r="I113" s="90">
        <v>2</v>
      </c>
      <c r="J113" s="90">
        <v>2</v>
      </c>
      <c r="K113" s="90">
        <v>6</v>
      </c>
      <c r="L113" s="91">
        <v>2</v>
      </c>
      <c r="M113" s="92">
        <v>0.25</v>
      </c>
      <c r="N113" s="92">
        <v>0.5</v>
      </c>
      <c r="O113" s="90">
        <v>120</v>
      </c>
      <c r="P113" s="93">
        <v>200</v>
      </c>
    </row>
    <row r="114" spans="2:16" x14ac:dyDescent="0.3">
      <c r="B114" s="86" t="s">
        <v>587</v>
      </c>
      <c r="C114" s="87" t="s">
        <v>31</v>
      </c>
      <c r="D114" s="88" t="s">
        <v>255</v>
      </c>
      <c r="E114" s="89" t="s">
        <v>21</v>
      </c>
      <c r="F114" s="89">
        <v>1</v>
      </c>
      <c r="G114" s="90">
        <v>4</v>
      </c>
      <c r="H114" s="90">
        <v>2</v>
      </c>
      <c r="I114" s="90">
        <v>0</v>
      </c>
      <c r="J114" s="90">
        <v>0</v>
      </c>
      <c r="K114" s="90">
        <v>4</v>
      </c>
      <c r="L114" s="91">
        <v>2</v>
      </c>
      <c r="M114" s="92">
        <v>0</v>
      </c>
      <c r="N114" s="92">
        <v>0</v>
      </c>
      <c r="O114" s="90">
        <v>0</v>
      </c>
      <c r="P114" s="93">
        <v>160</v>
      </c>
    </row>
    <row r="115" spans="2:16" x14ac:dyDescent="0.3">
      <c r="B115" s="86" t="s">
        <v>612</v>
      </c>
      <c r="C115" s="87" t="s">
        <v>27</v>
      </c>
      <c r="D115" s="88" t="s">
        <v>201</v>
      </c>
      <c r="E115" s="89" t="s">
        <v>21</v>
      </c>
      <c r="F115" s="89">
        <v>1</v>
      </c>
      <c r="G115" s="90">
        <v>4</v>
      </c>
      <c r="H115" s="90">
        <v>2</v>
      </c>
      <c r="I115" s="90">
        <v>1</v>
      </c>
      <c r="J115" s="90">
        <v>0</v>
      </c>
      <c r="K115" s="90">
        <v>3</v>
      </c>
      <c r="L115" s="91">
        <v>2</v>
      </c>
      <c r="M115" s="92">
        <v>0.25</v>
      </c>
      <c r="N115" s="92">
        <v>0</v>
      </c>
      <c r="O115" s="90">
        <v>0</v>
      </c>
      <c r="P115" s="93">
        <v>140</v>
      </c>
    </row>
    <row r="116" spans="2:16" x14ac:dyDescent="0.3">
      <c r="B116" s="86" t="s">
        <v>608</v>
      </c>
      <c r="C116" s="87" t="s">
        <v>24</v>
      </c>
      <c r="D116" s="88" t="s">
        <v>207</v>
      </c>
      <c r="E116" s="89" t="s">
        <v>28</v>
      </c>
      <c r="F116" s="89">
        <v>3</v>
      </c>
      <c r="G116" s="90">
        <v>24</v>
      </c>
      <c r="H116" s="90">
        <v>24</v>
      </c>
      <c r="I116" s="90">
        <v>13</v>
      </c>
      <c r="J116" s="90">
        <v>13</v>
      </c>
      <c r="K116" s="90">
        <v>11</v>
      </c>
      <c r="L116" s="91">
        <v>11</v>
      </c>
      <c r="M116" s="92">
        <v>0.54166666666666663</v>
      </c>
      <c r="N116" s="92">
        <v>0.54166666666666663</v>
      </c>
      <c r="O116" s="90">
        <v>600</v>
      </c>
      <c r="P116" s="93">
        <v>660</v>
      </c>
    </row>
    <row r="117" spans="2:16" x14ac:dyDescent="0.3">
      <c r="B117" s="86" t="s">
        <v>613</v>
      </c>
      <c r="C117" s="87" t="s">
        <v>56</v>
      </c>
      <c r="D117" s="88" t="s">
        <v>692</v>
      </c>
      <c r="E117" s="89" t="s">
        <v>35</v>
      </c>
      <c r="F117" s="89">
        <v>1</v>
      </c>
      <c r="G117" s="90">
        <v>6</v>
      </c>
      <c r="H117" s="90">
        <v>6</v>
      </c>
      <c r="I117" s="90">
        <v>0</v>
      </c>
      <c r="J117" s="90">
        <v>0</v>
      </c>
      <c r="K117" s="90">
        <v>6</v>
      </c>
      <c r="L117" s="91">
        <v>6</v>
      </c>
      <c r="M117" s="92">
        <v>0</v>
      </c>
      <c r="N117" s="92">
        <v>0</v>
      </c>
      <c r="O117" s="90">
        <v>0</v>
      </c>
      <c r="P117" s="93">
        <v>360</v>
      </c>
    </row>
    <row r="118" spans="2:16" x14ac:dyDescent="0.3">
      <c r="B118" s="86" t="s">
        <v>560</v>
      </c>
      <c r="C118" s="87" t="s">
        <v>159</v>
      </c>
      <c r="D118" s="88" t="s">
        <v>243</v>
      </c>
      <c r="E118" s="89" t="s">
        <v>21</v>
      </c>
      <c r="F118" s="89">
        <v>1</v>
      </c>
      <c r="G118" s="90">
        <v>4</v>
      </c>
      <c r="H118" s="90">
        <v>2</v>
      </c>
      <c r="I118" s="90">
        <v>0</v>
      </c>
      <c r="J118" s="90">
        <v>0</v>
      </c>
      <c r="K118" s="90">
        <v>4</v>
      </c>
      <c r="L118" s="91">
        <v>2</v>
      </c>
      <c r="M118" s="92">
        <v>0</v>
      </c>
      <c r="N118" s="92">
        <v>0</v>
      </c>
      <c r="O118" s="90">
        <v>0</v>
      </c>
      <c r="P118" s="93">
        <v>160</v>
      </c>
    </row>
    <row r="119" spans="2:16" x14ac:dyDescent="0.3">
      <c r="B119" s="86" t="s">
        <v>589</v>
      </c>
      <c r="C119" s="87" t="s">
        <v>31</v>
      </c>
      <c r="D119" s="88" t="s">
        <v>215</v>
      </c>
      <c r="E119" s="89" t="s">
        <v>21</v>
      </c>
      <c r="F119" s="89">
        <v>1</v>
      </c>
      <c r="G119" s="90">
        <v>4</v>
      </c>
      <c r="H119" s="90">
        <v>2</v>
      </c>
      <c r="I119" s="90">
        <v>0</v>
      </c>
      <c r="J119" s="90">
        <v>0</v>
      </c>
      <c r="K119" s="90">
        <v>4</v>
      </c>
      <c r="L119" s="91">
        <v>2</v>
      </c>
      <c r="M119" s="92">
        <v>0</v>
      </c>
      <c r="N119" s="92">
        <v>0</v>
      </c>
      <c r="O119" s="90">
        <v>0</v>
      </c>
      <c r="P119" s="93">
        <v>160</v>
      </c>
    </row>
    <row r="120" spans="2:16" x14ac:dyDescent="0.3">
      <c r="B120" s="86" t="s">
        <v>616</v>
      </c>
      <c r="C120" s="87" t="s">
        <v>31</v>
      </c>
      <c r="D120" s="88" t="s">
        <v>693</v>
      </c>
      <c r="E120" s="89" t="s">
        <v>21</v>
      </c>
      <c r="F120" s="89">
        <v>1</v>
      </c>
      <c r="G120" s="90">
        <v>4</v>
      </c>
      <c r="H120" s="90">
        <v>2</v>
      </c>
      <c r="I120" s="90">
        <v>0</v>
      </c>
      <c r="J120" s="90">
        <v>0</v>
      </c>
      <c r="K120" s="90">
        <v>4</v>
      </c>
      <c r="L120" s="91">
        <v>2</v>
      </c>
      <c r="M120" s="92">
        <v>0</v>
      </c>
      <c r="N120" s="92">
        <v>0</v>
      </c>
      <c r="O120" s="90">
        <v>0</v>
      </c>
      <c r="P120" s="93">
        <v>160</v>
      </c>
    </row>
    <row r="121" spans="2:16" x14ac:dyDescent="0.3">
      <c r="B121" s="86" t="s">
        <v>617</v>
      </c>
      <c r="C121" s="87" t="s">
        <v>20</v>
      </c>
      <c r="D121" s="88" t="s">
        <v>213</v>
      </c>
      <c r="E121" s="89" t="s">
        <v>21</v>
      </c>
      <c r="F121" s="89">
        <v>1</v>
      </c>
      <c r="G121" s="90">
        <v>4</v>
      </c>
      <c r="H121" s="90">
        <v>2</v>
      </c>
      <c r="I121" s="90">
        <v>0</v>
      </c>
      <c r="J121" s="90">
        <v>0</v>
      </c>
      <c r="K121" s="90">
        <v>4</v>
      </c>
      <c r="L121" s="91">
        <v>2</v>
      </c>
      <c r="M121" s="92">
        <v>0</v>
      </c>
      <c r="N121" s="92">
        <v>0</v>
      </c>
      <c r="O121" s="90">
        <v>0</v>
      </c>
      <c r="P121" s="93">
        <v>160</v>
      </c>
    </row>
    <row r="122" spans="2:16" x14ac:dyDescent="0.3">
      <c r="B122" s="86" t="s">
        <v>567</v>
      </c>
      <c r="C122" s="87" t="s">
        <v>27</v>
      </c>
      <c r="D122" s="88" t="s">
        <v>194</v>
      </c>
      <c r="E122" s="89" t="s">
        <v>21</v>
      </c>
      <c r="F122" s="89">
        <v>1</v>
      </c>
      <c r="G122" s="90">
        <v>4</v>
      </c>
      <c r="H122" s="90">
        <v>2</v>
      </c>
      <c r="I122" s="90">
        <v>0</v>
      </c>
      <c r="J122" s="90">
        <v>0</v>
      </c>
      <c r="K122" s="90">
        <v>4</v>
      </c>
      <c r="L122" s="91">
        <v>2</v>
      </c>
      <c r="M122" s="92">
        <v>0</v>
      </c>
      <c r="N122" s="92">
        <v>0</v>
      </c>
      <c r="O122" s="90">
        <v>0</v>
      </c>
      <c r="P122" s="93">
        <v>160</v>
      </c>
    </row>
    <row r="123" spans="2:16" x14ac:dyDescent="0.3">
      <c r="B123" s="86" t="s">
        <v>601</v>
      </c>
      <c r="C123" s="87" t="s">
        <v>24</v>
      </c>
      <c r="D123" s="88" t="s">
        <v>233</v>
      </c>
      <c r="E123" s="89" t="s">
        <v>21</v>
      </c>
      <c r="F123" s="89">
        <v>1</v>
      </c>
      <c r="G123" s="90">
        <v>4</v>
      </c>
      <c r="H123" s="90">
        <v>2</v>
      </c>
      <c r="I123" s="90">
        <v>0</v>
      </c>
      <c r="J123" s="90">
        <v>0</v>
      </c>
      <c r="K123" s="90">
        <v>4</v>
      </c>
      <c r="L123" s="91">
        <v>2</v>
      </c>
      <c r="M123" s="92">
        <v>0</v>
      </c>
      <c r="N123" s="92">
        <v>0</v>
      </c>
      <c r="O123" s="90">
        <v>0</v>
      </c>
      <c r="P123" s="93">
        <v>160</v>
      </c>
    </row>
    <row r="124" spans="2:16" x14ac:dyDescent="0.3">
      <c r="B124" s="86" t="s">
        <v>494</v>
      </c>
      <c r="C124" s="87" t="s">
        <v>31</v>
      </c>
      <c r="D124" s="88" t="s">
        <v>239</v>
      </c>
      <c r="E124" s="89" t="s">
        <v>21</v>
      </c>
      <c r="F124" s="89">
        <v>2</v>
      </c>
      <c r="G124" s="90">
        <v>8</v>
      </c>
      <c r="H124" s="90">
        <v>4</v>
      </c>
      <c r="I124" s="90">
        <v>0</v>
      </c>
      <c r="J124" s="90">
        <v>0</v>
      </c>
      <c r="K124" s="90">
        <v>8</v>
      </c>
      <c r="L124" s="91">
        <v>4</v>
      </c>
      <c r="M124" s="92">
        <v>0</v>
      </c>
      <c r="N124" s="92">
        <v>0</v>
      </c>
      <c r="O124" s="90">
        <v>0</v>
      </c>
      <c r="P124" s="93">
        <v>320</v>
      </c>
    </row>
    <row r="125" spans="2:16" x14ac:dyDescent="0.3">
      <c r="B125" s="86" t="s">
        <v>620</v>
      </c>
      <c r="C125" s="87" t="s">
        <v>56</v>
      </c>
      <c r="D125" s="88" t="s">
        <v>694</v>
      </c>
      <c r="E125" s="89" t="s">
        <v>21</v>
      </c>
      <c r="F125" s="89">
        <v>1</v>
      </c>
      <c r="G125" s="90">
        <v>4</v>
      </c>
      <c r="H125" s="90">
        <v>2</v>
      </c>
      <c r="I125" s="90">
        <v>0</v>
      </c>
      <c r="J125" s="90">
        <v>0</v>
      </c>
      <c r="K125" s="90">
        <v>4</v>
      </c>
      <c r="L125" s="91">
        <v>2</v>
      </c>
      <c r="M125" s="92">
        <v>0</v>
      </c>
      <c r="N125" s="92">
        <v>0</v>
      </c>
      <c r="O125" s="90">
        <v>0</v>
      </c>
      <c r="P125" s="93">
        <v>160</v>
      </c>
    </row>
    <row r="126" spans="2:16" x14ac:dyDescent="0.3">
      <c r="B126" s="86" t="s">
        <v>622</v>
      </c>
      <c r="C126" s="87" t="s">
        <v>198</v>
      </c>
      <c r="D126" s="88" t="s">
        <v>249</v>
      </c>
      <c r="E126" s="89" t="s">
        <v>21</v>
      </c>
      <c r="F126" s="89">
        <v>1</v>
      </c>
      <c r="G126" s="90">
        <v>4</v>
      </c>
      <c r="H126" s="90">
        <v>2</v>
      </c>
      <c r="I126" s="90">
        <v>0</v>
      </c>
      <c r="J126" s="90">
        <v>0</v>
      </c>
      <c r="K126" s="90">
        <v>4</v>
      </c>
      <c r="L126" s="91">
        <v>2</v>
      </c>
      <c r="M126" s="92">
        <v>0</v>
      </c>
      <c r="N126" s="92">
        <v>0</v>
      </c>
      <c r="O126" s="90">
        <v>0</v>
      </c>
      <c r="P126" s="93">
        <v>160</v>
      </c>
    </row>
    <row r="127" spans="2:16" x14ac:dyDescent="0.3">
      <c r="B127" s="86" t="s">
        <v>603</v>
      </c>
      <c r="C127" s="87" t="s">
        <v>24</v>
      </c>
      <c r="D127" s="88" t="s">
        <v>184</v>
      </c>
      <c r="E127" s="89" t="s">
        <v>21</v>
      </c>
      <c r="F127" s="89">
        <v>1</v>
      </c>
      <c r="G127" s="90">
        <v>4</v>
      </c>
      <c r="H127" s="90">
        <v>2</v>
      </c>
      <c r="I127" s="90">
        <v>3</v>
      </c>
      <c r="J127" s="90">
        <v>0</v>
      </c>
      <c r="K127" s="90">
        <v>1</v>
      </c>
      <c r="L127" s="91">
        <v>2</v>
      </c>
      <c r="M127" s="92">
        <v>0.75</v>
      </c>
      <c r="N127" s="92">
        <v>0</v>
      </c>
      <c r="O127" s="90">
        <v>0</v>
      </c>
      <c r="P127" s="93">
        <v>100</v>
      </c>
    </row>
    <row r="128" spans="2:16" x14ac:dyDescent="0.3">
      <c r="B128" s="86" t="s">
        <v>436</v>
      </c>
      <c r="C128" s="87" t="s">
        <v>20</v>
      </c>
      <c r="D128" s="88" t="s">
        <v>695</v>
      </c>
      <c r="E128" s="89" t="s">
        <v>28</v>
      </c>
      <c r="F128" s="89">
        <v>1</v>
      </c>
      <c r="G128" s="90">
        <v>8</v>
      </c>
      <c r="H128" s="90">
        <v>8</v>
      </c>
      <c r="I128" s="90">
        <v>0</v>
      </c>
      <c r="J128" s="90">
        <v>0</v>
      </c>
      <c r="K128" s="90">
        <v>8</v>
      </c>
      <c r="L128" s="91">
        <v>8</v>
      </c>
      <c r="M128" s="92">
        <v>0</v>
      </c>
      <c r="N128" s="92">
        <v>0</v>
      </c>
      <c r="O128" s="90">
        <v>0</v>
      </c>
      <c r="P128" s="93">
        <v>480</v>
      </c>
    </row>
    <row r="129" spans="2:16" x14ac:dyDescent="0.3">
      <c r="B129" s="86" t="s">
        <v>581</v>
      </c>
      <c r="C129" s="87" t="s">
        <v>20</v>
      </c>
      <c r="D129" s="88" t="s">
        <v>241</v>
      </c>
      <c r="E129" s="89" t="s">
        <v>28</v>
      </c>
      <c r="F129" s="89">
        <v>2</v>
      </c>
      <c r="G129" s="90">
        <v>16</v>
      </c>
      <c r="H129" s="90">
        <v>16</v>
      </c>
      <c r="I129" s="90">
        <v>0</v>
      </c>
      <c r="J129" s="90">
        <v>0</v>
      </c>
      <c r="K129" s="90">
        <v>16</v>
      </c>
      <c r="L129" s="91">
        <v>16</v>
      </c>
      <c r="M129" s="92">
        <v>0</v>
      </c>
      <c r="N129" s="92">
        <v>0</v>
      </c>
      <c r="O129" s="90">
        <v>0</v>
      </c>
      <c r="P129" s="93">
        <v>960</v>
      </c>
    </row>
    <row r="130" spans="2:16" x14ac:dyDescent="0.3">
      <c r="B130" s="86" t="s">
        <v>568</v>
      </c>
      <c r="C130" s="87" t="s">
        <v>20</v>
      </c>
      <c r="D130" s="88" t="s">
        <v>297</v>
      </c>
      <c r="E130" s="89" t="s">
        <v>35</v>
      </c>
      <c r="F130" s="89">
        <v>1</v>
      </c>
      <c r="G130" s="90">
        <v>6</v>
      </c>
      <c r="H130" s="90">
        <v>6</v>
      </c>
      <c r="I130" s="90">
        <v>0</v>
      </c>
      <c r="J130" s="90">
        <v>0</v>
      </c>
      <c r="K130" s="90">
        <v>6</v>
      </c>
      <c r="L130" s="91">
        <v>6</v>
      </c>
      <c r="M130" s="92">
        <v>0</v>
      </c>
      <c r="N130" s="92">
        <v>0</v>
      </c>
      <c r="O130" s="90">
        <v>0</v>
      </c>
      <c r="P130" s="93">
        <v>360</v>
      </c>
    </row>
    <row r="131" spans="2:16" x14ac:dyDescent="0.3">
      <c r="B131" s="86" t="s">
        <v>624</v>
      </c>
      <c r="C131" s="87" t="s">
        <v>20</v>
      </c>
      <c r="D131" s="88" t="s">
        <v>696</v>
      </c>
      <c r="E131" s="89" t="s">
        <v>28</v>
      </c>
      <c r="F131" s="89">
        <v>1</v>
      </c>
      <c r="G131" s="90">
        <v>8</v>
      </c>
      <c r="H131" s="90">
        <v>8</v>
      </c>
      <c r="I131" s="90">
        <v>0</v>
      </c>
      <c r="J131" s="90">
        <v>0</v>
      </c>
      <c r="K131" s="90">
        <v>8</v>
      </c>
      <c r="L131" s="91">
        <v>8</v>
      </c>
      <c r="M131" s="92">
        <v>0</v>
      </c>
      <c r="N131" s="92">
        <v>0</v>
      </c>
      <c r="O131" s="90">
        <v>0</v>
      </c>
      <c r="P131" s="93">
        <v>480</v>
      </c>
    </row>
    <row r="132" spans="2:16" x14ac:dyDescent="0.3">
      <c r="B132" s="86" t="s">
        <v>625</v>
      </c>
      <c r="C132" s="87" t="s">
        <v>20</v>
      </c>
      <c r="D132" s="88" t="s">
        <v>283</v>
      </c>
      <c r="E132" s="89" t="s">
        <v>21</v>
      </c>
      <c r="F132" s="89">
        <v>1</v>
      </c>
      <c r="G132" s="90">
        <v>4</v>
      </c>
      <c r="H132" s="90">
        <v>2</v>
      </c>
      <c r="I132" s="90">
        <v>0</v>
      </c>
      <c r="J132" s="90">
        <v>0</v>
      </c>
      <c r="K132" s="90">
        <v>4</v>
      </c>
      <c r="L132" s="91">
        <v>2</v>
      </c>
      <c r="M132" s="92">
        <v>0</v>
      </c>
      <c r="N132" s="92">
        <v>0</v>
      </c>
      <c r="O132" s="90">
        <v>0</v>
      </c>
      <c r="P132" s="93">
        <v>160</v>
      </c>
    </row>
    <row r="133" spans="2:16" x14ac:dyDescent="0.3">
      <c r="B133" s="86" t="s">
        <v>488</v>
      </c>
      <c r="C133" s="87" t="s">
        <v>20</v>
      </c>
      <c r="D133" s="88" t="s">
        <v>327</v>
      </c>
      <c r="E133" s="89" t="s">
        <v>28</v>
      </c>
      <c r="F133" s="89">
        <v>1</v>
      </c>
      <c r="G133" s="90">
        <v>8</v>
      </c>
      <c r="H133" s="90">
        <v>8</v>
      </c>
      <c r="I133" s="90">
        <v>4</v>
      </c>
      <c r="J133" s="90">
        <v>8</v>
      </c>
      <c r="K133" s="90">
        <v>4</v>
      </c>
      <c r="L133" s="91">
        <v>0</v>
      </c>
      <c r="M133" s="92">
        <v>0.5</v>
      </c>
      <c r="N133" s="92">
        <v>1</v>
      </c>
      <c r="O133" s="90">
        <v>363</v>
      </c>
      <c r="P133" s="93">
        <v>80</v>
      </c>
    </row>
    <row r="134" spans="2:16" x14ac:dyDescent="0.3">
      <c r="B134" s="86" t="s">
        <v>583</v>
      </c>
      <c r="C134" s="87" t="s">
        <v>20</v>
      </c>
      <c r="D134" s="88" t="s">
        <v>311</v>
      </c>
      <c r="E134" s="89" t="s">
        <v>28</v>
      </c>
      <c r="F134" s="89">
        <v>1</v>
      </c>
      <c r="G134" s="90">
        <v>8</v>
      </c>
      <c r="H134" s="90">
        <v>8</v>
      </c>
      <c r="I134" s="90">
        <v>3</v>
      </c>
      <c r="J134" s="90">
        <v>1</v>
      </c>
      <c r="K134" s="90">
        <v>5</v>
      </c>
      <c r="L134" s="91">
        <v>7</v>
      </c>
      <c r="M134" s="92">
        <v>0.375</v>
      </c>
      <c r="N134" s="92">
        <v>0.125</v>
      </c>
      <c r="O134" s="90">
        <v>100</v>
      </c>
      <c r="P134" s="93">
        <v>380</v>
      </c>
    </row>
    <row r="135" spans="2:16" x14ac:dyDescent="0.3">
      <c r="B135" s="86" t="s">
        <v>611</v>
      </c>
      <c r="C135" s="87" t="s">
        <v>20</v>
      </c>
      <c r="D135" s="88" t="s">
        <v>329</v>
      </c>
      <c r="E135" s="89" t="s">
        <v>21</v>
      </c>
      <c r="F135" s="89">
        <v>1</v>
      </c>
      <c r="G135" s="90">
        <v>4</v>
      </c>
      <c r="H135" s="90">
        <v>2</v>
      </c>
      <c r="I135" s="90">
        <v>0</v>
      </c>
      <c r="J135" s="90">
        <v>0</v>
      </c>
      <c r="K135" s="90">
        <v>4</v>
      </c>
      <c r="L135" s="91">
        <v>2</v>
      </c>
      <c r="M135" s="92">
        <v>0</v>
      </c>
      <c r="N135" s="92">
        <v>0</v>
      </c>
      <c r="O135" s="90">
        <v>0</v>
      </c>
      <c r="P135" s="93">
        <v>160</v>
      </c>
    </row>
    <row r="136" spans="2:16" x14ac:dyDescent="0.3">
      <c r="B136" s="86" t="s">
        <v>585</v>
      </c>
      <c r="C136" s="87" t="s">
        <v>20</v>
      </c>
      <c r="D136" s="88" t="s">
        <v>317</v>
      </c>
      <c r="E136" s="89" t="s">
        <v>21</v>
      </c>
      <c r="F136" s="89">
        <v>1</v>
      </c>
      <c r="G136" s="90">
        <v>4</v>
      </c>
      <c r="H136" s="90">
        <v>2</v>
      </c>
      <c r="I136" s="90">
        <v>0</v>
      </c>
      <c r="J136" s="90">
        <v>0</v>
      </c>
      <c r="K136" s="90">
        <v>4</v>
      </c>
      <c r="L136" s="91">
        <v>2</v>
      </c>
      <c r="M136" s="92">
        <v>0</v>
      </c>
      <c r="N136" s="92">
        <v>0</v>
      </c>
      <c r="O136" s="90">
        <v>0</v>
      </c>
      <c r="P136" s="93">
        <v>160</v>
      </c>
    </row>
    <row r="137" spans="2:16" x14ac:dyDescent="0.3">
      <c r="B137" s="86" t="s">
        <v>628</v>
      </c>
      <c r="C137" s="87" t="s">
        <v>20</v>
      </c>
      <c r="D137" s="88" t="s">
        <v>285</v>
      </c>
      <c r="E137" s="89" t="s">
        <v>21</v>
      </c>
      <c r="F137" s="89">
        <v>1</v>
      </c>
      <c r="G137" s="90">
        <v>4</v>
      </c>
      <c r="H137" s="90">
        <v>2</v>
      </c>
      <c r="I137" s="90">
        <v>0</v>
      </c>
      <c r="J137" s="90">
        <v>0</v>
      </c>
      <c r="K137" s="90">
        <v>4</v>
      </c>
      <c r="L137" s="91">
        <v>2</v>
      </c>
      <c r="M137" s="92">
        <v>0</v>
      </c>
      <c r="N137" s="92">
        <v>0</v>
      </c>
      <c r="O137" s="90">
        <v>0</v>
      </c>
      <c r="P137" s="93">
        <v>160</v>
      </c>
    </row>
    <row r="138" spans="2:16" x14ac:dyDescent="0.3">
      <c r="B138" s="86" t="s">
        <v>629</v>
      </c>
      <c r="C138" s="87" t="s">
        <v>20</v>
      </c>
      <c r="D138" s="88" t="s">
        <v>697</v>
      </c>
      <c r="E138" s="89" t="s">
        <v>28</v>
      </c>
      <c r="F138" s="89">
        <v>1</v>
      </c>
      <c r="G138" s="90">
        <v>8</v>
      </c>
      <c r="H138" s="90">
        <v>8</v>
      </c>
      <c r="I138" s="90">
        <v>0</v>
      </c>
      <c r="J138" s="90">
        <v>0</v>
      </c>
      <c r="K138" s="90">
        <v>8</v>
      </c>
      <c r="L138" s="91">
        <v>8</v>
      </c>
      <c r="M138" s="92">
        <v>0</v>
      </c>
      <c r="N138" s="92">
        <v>0</v>
      </c>
      <c r="O138" s="90">
        <v>0</v>
      </c>
      <c r="P138" s="93">
        <v>480</v>
      </c>
    </row>
    <row r="139" spans="2:16" x14ac:dyDescent="0.3">
      <c r="B139" s="86" t="s">
        <v>630</v>
      </c>
      <c r="C139" s="87" t="s">
        <v>20</v>
      </c>
      <c r="D139" s="88" t="s">
        <v>277</v>
      </c>
      <c r="E139" s="89" t="s">
        <v>21</v>
      </c>
      <c r="F139" s="89">
        <v>1</v>
      </c>
      <c r="G139" s="90">
        <v>4</v>
      </c>
      <c r="H139" s="90">
        <v>2</v>
      </c>
      <c r="I139" s="90">
        <v>0</v>
      </c>
      <c r="J139" s="90">
        <v>1</v>
      </c>
      <c r="K139" s="90">
        <v>4</v>
      </c>
      <c r="L139" s="91">
        <v>1</v>
      </c>
      <c r="M139" s="92">
        <v>0</v>
      </c>
      <c r="N139" s="92">
        <v>0.5</v>
      </c>
      <c r="O139" s="90">
        <v>40</v>
      </c>
      <c r="P139" s="93">
        <v>120</v>
      </c>
    </row>
    <row r="140" spans="2:16" x14ac:dyDescent="0.3">
      <c r="B140" s="86" t="s">
        <v>604</v>
      </c>
      <c r="C140" s="87" t="s">
        <v>20</v>
      </c>
      <c r="D140" s="88" t="s">
        <v>313</v>
      </c>
      <c r="E140" s="89" t="s">
        <v>21</v>
      </c>
      <c r="F140" s="89">
        <v>1</v>
      </c>
      <c r="G140" s="90">
        <v>4</v>
      </c>
      <c r="H140" s="90">
        <v>2</v>
      </c>
      <c r="I140" s="90">
        <v>0</v>
      </c>
      <c r="J140" s="90">
        <v>0</v>
      </c>
      <c r="K140" s="90">
        <v>4</v>
      </c>
      <c r="L140" s="91">
        <v>2</v>
      </c>
      <c r="M140" s="92">
        <v>0</v>
      </c>
      <c r="N140" s="92">
        <v>0</v>
      </c>
      <c r="O140" s="90">
        <v>0</v>
      </c>
      <c r="P140" s="93">
        <v>160</v>
      </c>
    </row>
    <row r="141" spans="2:16" x14ac:dyDescent="0.3">
      <c r="B141" s="86" t="s">
        <v>191</v>
      </c>
      <c r="C141" s="87" t="s">
        <v>20</v>
      </c>
      <c r="D141" s="88" t="s">
        <v>291</v>
      </c>
      <c r="E141" s="89" t="s">
        <v>21</v>
      </c>
      <c r="F141" s="89">
        <v>2</v>
      </c>
      <c r="G141" s="90">
        <v>8</v>
      </c>
      <c r="H141" s="90">
        <v>4</v>
      </c>
      <c r="I141" s="90">
        <v>2</v>
      </c>
      <c r="J141" s="90">
        <v>2</v>
      </c>
      <c r="K141" s="90">
        <v>6</v>
      </c>
      <c r="L141" s="91">
        <v>2</v>
      </c>
      <c r="M141" s="92">
        <v>0.25</v>
      </c>
      <c r="N141" s="92">
        <v>0.5</v>
      </c>
      <c r="O141" s="90">
        <v>80</v>
      </c>
      <c r="P141" s="93">
        <v>200</v>
      </c>
    </row>
    <row r="142" spans="2:16" x14ac:dyDescent="0.3">
      <c r="B142" s="86" t="s">
        <v>502</v>
      </c>
      <c r="C142" s="87" t="s">
        <v>31</v>
      </c>
      <c r="D142" s="88" t="s">
        <v>319</v>
      </c>
      <c r="E142" s="89" t="s">
        <v>28</v>
      </c>
      <c r="F142" s="89">
        <v>3</v>
      </c>
      <c r="G142" s="90">
        <v>24</v>
      </c>
      <c r="H142" s="90">
        <v>24</v>
      </c>
      <c r="I142" s="90">
        <v>7</v>
      </c>
      <c r="J142" s="90">
        <v>14</v>
      </c>
      <c r="K142" s="90">
        <v>17</v>
      </c>
      <c r="L142" s="91">
        <v>10</v>
      </c>
      <c r="M142" s="92">
        <v>0.29166666666666669</v>
      </c>
      <c r="N142" s="92">
        <v>0.58333333333333337</v>
      </c>
      <c r="O142" s="90">
        <v>600</v>
      </c>
      <c r="P142" s="97">
        <v>740</v>
      </c>
    </row>
    <row r="143" spans="2:16" x14ac:dyDescent="0.3">
      <c r="B143" s="86" t="s">
        <v>561</v>
      </c>
      <c r="C143" s="87" t="s">
        <v>31</v>
      </c>
      <c r="D143" s="88" t="s">
        <v>331</v>
      </c>
      <c r="E143" s="89" t="s">
        <v>21</v>
      </c>
      <c r="F143" s="89">
        <v>2</v>
      </c>
      <c r="G143" s="90">
        <v>8</v>
      </c>
      <c r="H143" s="90">
        <v>4</v>
      </c>
      <c r="I143" s="90">
        <v>2</v>
      </c>
      <c r="J143" s="90">
        <v>0</v>
      </c>
      <c r="K143" s="90">
        <v>6</v>
      </c>
      <c r="L143" s="91">
        <v>4</v>
      </c>
      <c r="M143" s="92">
        <v>0.25</v>
      </c>
      <c r="N143" s="92">
        <v>0</v>
      </c>
      <c r="O143" s="90">
        <v>0</v>
      </c>
      <c r="P143" s="93">
        <v>280</v>
      </c>
    </row>
    <row r="144" spans="2:16" x14ac:dyDescent="0.3">
      <c r="B144" s="86" t="s">
        <v>632</v>
      </c>
      <c r="C144" s="87" t="s">
        <v>24</v>
      </c>
      <c r="D144" s="88" t="s">
        <v>273</v>
      </c>
      <c r="E144" s="89" t="s">
        <v>21</v>
      </c>
      <c r="F144" s="89">
        <v>1</v>
      </c>
      <c r="G144" s="90">
        <v>4</v>
      </c>
      <c r="H144" s="90">
        <v>2</v>
      </c>
      <c r="I144" s="90">
        <v>0</v>
      </c>
      <c r="J144" s="90">
        <v>0</v>
      </c>
      <c r="K144" s="90">
        <v>4</v>
      </c>
      <c r="L144" s="91">
        <v>2</v>
      </c>
      <c r="M144" s="92">
        <v>0</v>
      </c>
      <c r="N144" s="92">
        <v>0</v>
      </c>
      <c r="O144" s="90">
        <v>0</v>
      </c>
      <c r="P144" s="93">
        <v>160</v>
      </c>
    </row>
    <row r="145" spans="2:16" x14ac:dyDescent="0.3">
      <c r="B145" s="86" t="s">
        <v>523</v>
      </c>
      <c r="C145" s="87" t="s">
        <v>24</v>
      </c>
      <c r="D145" s="88" t="s">
        <v>321</v>
      </c>
      <c r="E145" s="89" t="s">
        <v>28</v>
      </c>
      <c r="F145" s="89">
        <v>2</v>
      </c>
      <c r="G145" s="90">
        <v>16</v>
      </c>
      <c r="H145" s="90">
        <v>16</v>
      </c>
      <c r="I145" s="90">
        <v>12</v>
      </c>
      <c r="J145" s="90">
        <v>8</v>
      </c>
      <c r="K145" s="90">
        <v>4</v>
      </c>
      <c r="L145" s="91">
        <v>8</v>
      </c>
      <c r="M145" s="92">
        <v>0.75</v>
      </c>
      <c r="N145" s="92">
        <v>0.5</v>
      </c>
      <c r="O145" s="90">
        <v>160</v>
      </c>
      <c r="P145" s="93">
        <v>400</v>
      </c>
    </row>
    <row r="146" spans="2:16" x14ac:dyDescent="0.3">
      <c r="B146" s="86" t="s">
        <v>634</v>
      </c>
      <c r="C146" s="87" t="s">
        <v>24</v>
      </c>
      <c r="D146" s="88" t="s">
        <v>323</v>
      </c>
      <c r="E146" s="89" t="s">
        <v>21</v>
      </c>
      <c r="F146" s="89">
        <v>1</v>
      </c>
      <c r="G146" s="90">
        <v>4</v>
      </c>
      <c r="H146" s="90">
        <v>2</v>
      </c>
      <c r="I146" s="90">
        <v>0</v>
      </c>
      <c r="J146" s="90">
        <v>0</v>
      </c>
      <c r="K146" s="90">
        <v>4</v>
      </c>
      <c r="L146" s="91">
        <v>2</v>
      </c>
      <c r="M146" s="92">
        <v>0</v>
      </c>
      <c r="N146" s="92">
        <v>0</v>
      </c>
      <c r="O146" s="90">
        <v>0</v>
      </c>
      <c r="P146" s="93">
        <v>160</v>
      </c>
    </row>
    <row r="147" spans="2:16" x14ac:dyDescent="0.3">
      <c r="B147" s="86" t="s">
        <v>635</v>
      </c>
      <c r="C147" s="87" t="s">
        <v>24</v>
      </c>
      <c r="D147" s="88" t="s">
        <v>275</v>
      </c>
      <c r="E147" s="89" t="s">
        <v>21</v>
      </c>
      <c r="F147" s="89">
        <v>1</v>
      </c>
      <c r="G147" s="90">
        <v>4</v>
      </c>
      <c r="H147" s="90">
        <v>2</v>
      </c>
      <c r="I147" s="90">
        <v>0</v>
      </c>
      <c r="J147" s="90">
        <v>0</v>
      </c>
      <c r="K147" s="90">
        <v>4</v>
      </c>
      <c r="L147" s="91">
        <v>2</v>
      </c>
      <c r="M147" s="92">
        <v>0</v>
      </c>
      <c r="N147" s="92">
        <v>0</v>
      </c>
      <c r="O147" s="90">
        <v>0</v>
      </c>
      <c r="P147" s="93">
        <v>160</v>
      </c>
    </row>
    <row r="148" spans="2:16" x14ac:dyDescent="0.3">
      <c r="B148" s="86" t="s">
        <v>637</v>
      </c>
      <c r="C148" s="87" t="s">
        <v>24</v>
      </c>
      <c r="D148" s="88" t="s">
        <v>269</v>
      </c>
      <c r="E148" s="89" t="s">
        <v>21</v>
      </c>
      <c r="F148" s="89">
        <v>1</v>
      </c>
      <c r="G148" s="90">
        <v>4</v>
      </c>
      <c r="H148" s="90">
        <v>2</v>
      </c>
      <c r="I148" s="90">
        <v>0</v>
      </c>
      <c r="J148" s="90">
        <v>0</v>
      </c>
      <c r="K148" s="90">
        <v>4</v>
      </c>
      <c r="L148" s="91">
        <v>2</v>
      </c>
      <c r="M148" s="92">
        <v>0</v>
      </c>
      <c r="N148" s="92">
        <v>0</v>
      </c>
      <c r="O148" s="90">
        <v>0</v>
      </c>
      <c r="P148" s="93">
        <v>160</v>
      </c>
    </row>
    <row r="149" spans="2:16" x14ac:dyDescent="0.3">
      <c r="B149" s="86" t="s">
        <v>636</v>
      </c>
      <c r="C149" s="87" t="s">
        <v>92</v>
      </c>
      <c r="D149" s="88" t="s">
        <v>305</v>
      </c>
      <c r="E149" s="89" t="s">
        <v>28</v>
      </c>
      <c r="F149" s="89">
        <v>1</v>
      </c>
      <c r="G149" s="90">
        <v>8</v>
      </c>
      <c r="H149" s="90">
        <v>8</v>
      </c>
      <c r="I149" s="90">
        <v>1</v>
      </c>
      <c r="J149" s="90">
        <v>1</v>
      </c>
      <c r="K149" s="90">
        <v>7</v>
      </c>
      <c r="L149" s="91">
        <v>7</v>
      </c>
      <c r="M149" s="92">
        <v>0.125</v>
      </c>
      <c r="N149" s="92">
        <v>0.125</v>
      </c>
      <c r="O149" s="90">
        <v>60</v>
      </c>
      <c r="P149" s="93">
        <v>420</v>
      </c>
    </row>
    <row r="150" spans="2:16" x14ac:dyDescent="0.3">
      <c r="B150" s="86" t="s">
        <v>529</v>
      </c>
      <c r="C150" s="87" t="s">
        <v>92</v>
      </c>
      <c r="D150" s="88" t="s">
        <v>287</v>
      </c>
      <c r="E150" s="89" t="s">
        <v>21</v>
      </c>
      <c r="F150" s="89">
        <v>1</v>
      </c>
      <c r="G150" s="90">
        <v>4</v>
      </c>
      <c r="H150" s="90">
        <v>2</v>
      </c>
      <c r="I150" s="90">
        <v>0</v>
      </c>
      <c r="J150" s="90">
        <v>0</v>
      </c>
      <c r="K150" s="90">
        <v>4</v>
      </c>
      <c r="L150" s="91">
        <v>2</v>
      </c>
      <c r="M150" s="92">
        <v>0</v>
      </c>
      <c r="N150" s="92">
        <v>0</v>
      </c>
      <c r="O150" s="90">
        <v>0</v>
      </c>
      <c r="P150" s="93">
        <v>160</v>
      </c>
    </row>
    <row r="151" spans="2:16" x14ac:dyDescent="0.3">
      <c r="B151" s="86" t="s">
        <v>638</v>
      </c>
      <c r="C151" s="87" t="s">
        <v>92</v>
      </c>
      <c r="D151" s="88" t="s">
        <v>333</v>
      </c>
      <c r="E151" s="89" t="s">
        <v>21</v>
      </c>
      <c r="F151" s="89">
        <v>1</v>
      </c>
      <c r="G151" s="90">
        <v>4</v>
      </c>
      <c r="H151" s="90">
        <v>2</v>
      </c>
      <c r="I151" s="90">
        <v>2</v>
      </c>
      <c r="J151" s="90">
        <v>1</v>
      </c>
      <c r="K151" s="90">
        <v>2</v>
      </c>
      <c r="L151" s="91">
        <v>1</v>
      </c>
      <c r="M151" s="92">
        <v>0.5</v>
      </c>
      <c r="N151" s="92">
        <v>0.5</v>
      </c>
      <c r="O151" s="90">
        <v>56</v>
      </c>
      <c r="P151" s="91">
        <v>80</v>
      </c>
    </row>
    <row r="152" spans="2:16" x14ac:dyDescent="0.3">
      <c r="B152" s="86" t="s">
        <v>641</v>
      </c>
      <c r="C152" s="87" t="s">
        <v>27</v>
      </c>
      <c r="D152" s="88" t="s">
        <v>698</v>
      </c>
      <c r="E152" s="89" t="s">
        <v>21</v>
      </c>
      <c r="F152" s="89">
        <v>1</v>
      </c>
      <c r="G152" s="90">
        <v>4</v>
      </c>
      <c r="H152" s="90">
        <v>2</v>
      </c>
      <c r="I152" s="90">
        <v>0</v>
      </c>
      <c r="J152" s="90">
        <v>0</v>
      </c>
      <c r="K152" s="90">
        <v>4</v>
      </c>
      <c r="L152" s="90">
        <v>2</v>
      </c>
      <c r="M152" s="92">
        <v>0</v>
      </c>
      <c r="N152" s="92">
        <v>0</v>
      </c>
      <c r="O152" s="90">
        <v>0</v>
      </c>
      <c r="P152" s="93">
        <v>160</v>
      </c>
    </row>
    <row r="153" spans="2:16" x14ac:dyDescent="0.3">
      <c r="B153" s="86" t="s">
        <v>525</v>
      </c>
      <c r="C153" s="87" t="s">
        <v>24</v>
      </c>
      <c r="D153" s="88" t="s">
        <v>295</v>
      </c>
      <c r="E153" s="89" t="s">
        <v>21</v>
      </c>
      <c r="F153" s="89">
        <v>2</v>
      </c>
      <c r="G153" s="90">
        <v>8</v>
      </c>
      <c r="H153" s="90">
        <v>4</v>
      </c>
      <c r="I153" s="90">
        <v>2</v>
      </c>
      <c r="J153" s="90">
        <v>0</v>
      </c>
      <c r="K153" s="90">
        <v>6</v>
      </c>
      <c r="L153" s="91">
        <v>4</v>
      </c>
      <c r="M153" s="92">
        <v>0.25</v>
      </c>
      <c r="N153" s="92">
        <v>0</v>
      </c>
      <c r="O153" s="90">
        <v>0</v>
      </c>
      <c r="P153" s="93">
        <v>280</v>
      </c>
    </row>
    <row r="154" spans="2:16" x14ac:dyDescent="0.3">
      <c r="B154" s="86" t="s">
        <v>631</v>
      </c>
      <c r="C154" s="87" t="s">
        <v>159</v>
      </c>
      <c r="D154" s="88" t="s">
        <v>315</v>
      </c>
      <c r="E154" s="89" t="s">
        <v>28</v>
      </c>
      <c r="F154" s="89">
        <v>1</v>
      </c>
      <c r="G154" s="90">
        <v>8</v>
      </c>
      <c r="H154" s="90">
        <v>8</v>
      </c>
      <c r="I154" s="90">
        <v>8</v>
      </c>
      <c r="J154" s="90">
        <v>8</v>
      </c>
      <c r="K154" s="90">
        <v>0</v>
      </c>
      <c r="L154" s="91">
        <v>0</v>
      </c>
      <c r="M154" s="92">
        <v>1</v>
      </c>
      <c r="N154" s="92">
        <v>1</v>
      </c>
      <c r="O154" s="90">
        <v>400</v>
      </c>
      <c r="P154" s="93">
        <v>0</v>
      </c>
    </row>
    <row r="155" spans="2:16" x14ac:dyDescent="0.3">
      <c r="B155" s="86" t="s">
        <v>509</v>
      </c>
      <c r="C155" s="87" t="s">
        <v>20</v>
      </c>
      <c r="D155" s="88" t="s">
        <v>271</v>
      </c>
      <c r="E155" s="89" t="s">
        <v>21</v>
      </c>
      <c r="F155" s="89">
        <v>1</v>
      </c>
      <c r="G155" s="90">
        <v>4</v>
      </c>
      <c r="H155" s="90">
        <v>2</v>
      </c>
      <c r="I155" s="90">
        <v>2</v>
      </c>
      <c r="J155" s="90">
        <v>0</v>
      </c>
      <c r="K155" s="90">
        <v>2</v>
      </c>
      <c r="L155" s="91">
        <v>2</v>
      </c>
      <c r="M155" s="92">
        <v>0.5</v>
      </c>
      <c r="N155" s="92">
        <v>0</v>
      </c>
      <c r="O155" s="90">
        <v>0</v>
      </c>
      <c r="P155" s="93">
        <v>120</v>
      </c>
    </row>
    <row r="156" spans="2:16" x14ac:dyDescent="0.3">
      <c r="B156" s="86" t="s">
        <v>644</v>
      </c>
      <c r="C156" s="87" t="s">
        <v>20</v>
      </c>
      <c r="D156" s="88" t="s">
        <v>299</v>
      </c>
      <c r="E156" s="89" t="s">
        <v>35</v>
      </c>
      <c r="F156" s="89">
        <v>1</v>
      </c>
      <c r="G156" s="90">
        <v>6</v>
      </c>
      <c r="H156" s="90">
        <v>6</v>
      </c>
      <c r="I156" s="90">
        <v>0</v>
      </c>
      <c r="J156" s="90">
        <v>0</v>
      </c>
      <c r="K156" s="90">
        <v>6</v>
      </c>
      <c r="L156" s="91">
        <v>6</v>
      </c>
      <c r="M156" s="92">
        <v>0</v>
      </c>
      <c r="N156" s="92">
        <v>0</v>
      </c>
      <c r="O156" s="90">
        <v>0</v>
      </c>
      <c r="P156" s="93">
        <v>360</v>
      </c>
    </row>
    <row r="157" spans="2:16" s="42" customFormat="1" x14ac:dyDescent="0.3">
      <c r="B157" s="86" t="s">
        <v>586</v>
      </c>
      <c r="C157" s="87" t="s">
        <v>20</v>
      </c>
      <c r="D157" s="88" t="s">
        <v>267</v>
      </c>
      <c r="E157" s="89" t="s">
        <v>21</v>
      </c>
      <c r="F157" s="89">
        <v>1</v>
      </c>
      <c r="G157" s="90">
        <v>4</v>
      </c>
      <c r="H157" s="90">
        <v>2</v>
      </c>
      <c r="I157" s="90">
        <v>0</v>
      </c>
      <c r="J157" s="90">
        <v>0</v>
      </c>
      <c r="K157" s="90">
        <v>4</v>
      </c>
      <c r="L157" s="91">
        <v>2</v>
      </c>
      <c r="M157" s="92">
        <v>0</v>
      </c>
      <c r="N157" s="92">
        <v>0</v>
      </c>
      <c r="O157" s="90">
        <v>0</v>
      </c>
      <c r="P157" s="93">
        <v>160</v>
      </c>
    </row>
    <row r="158" spans="2:16" x14ac:dyDescent="0.3">
      <c r="B158" s="86" t="s">
        <v>645</v>
      </c>
      <c r="C158" s="87" t="s">
        <v>20</v>
      </c>
      <c r="D158" s="88" t="s">
        <v>699</v>
      </c>
      <c r="E158" s="89" t="s">
        <v>21</v>
      </c>
      <c r="F158" s="89">
        <v>1</v>
      </c>
      <c r="G158" s="90">
        <v>4</v>
      </c>
      <c r="H158" s="90">
        <v>2</v>
      </c>
      <c r="I158" s="90">
        <v>0</v>
      </c>
      <c r="J158" s="90">
        <v>0</v>
      </c>
      <c r="K158" s="90">
        <v>4</v>
      </c>
      <c r="L158" s="91">
        <v>2</v>
      </c>
      <c r="M158" s="92">
        <v>0</v>
      </c>
      <c r="N158" s="92">
        <v>0</v>
      </c>
      <c r="O158" s="90">
        <v>0</v>
      </c>
      <c r="P158" s="93">
        <v>160</v>
      </c>
    </row>
    <row r="159" spans="2:16" x14ac:dyDescent="0.3">
      <c r="B159" s="86" t="s">
        <v>579</v>
      </c>
      <c r="C159" s="87" t="s">
        <v>198</v>
      </c>
      <c r="D159" s="88" t="s">
        <v>259</v>
      </c>
      <c r="E159" s="89" t="s">
        <v>21</v>
      </c>
      <c r="F159" s="89">
        <v>1</v>
      </c>
      <c r="G159" s="90">
        <v>4</v>
      </c>
      <c r="H159" s="90">
        <v>2</v>
      </c>
      <c r="I159" s="90">
        <v>0</v>
      </c>
      <c r="J159" s="90">
        <v>0</v>
      </c>
      <c r="K159" s="90">
        <v>4</v>
      </c>
      <c r="L159" s="91">
        <v>2</v>
      </c>
      <c r="M159" s="92">
        <v>0</v>
      </c>
      <c r="N159" s="92">
        <v>0</v>
      </c>
      <c r="O159" s="90">
        <v>0</v>
      </c>
      <c r="P159" s="93">
        <v>160</v>
      </c>
    </row>
    <row r="160" spans="2:16" x14ac:dyDescent="0.3">
      <c r="B160" s="86" t="s">
        <v>228</v>
      </c>
      <c r="C160" s="87" t="s">
        <v>27</v>
      </c>
      <c r="D160" s="88" t="s">
        <v>303</v>
      </c>
      <c r="E160" s="89" t="s">
        <v>21</v>
      </c>
      <c r="F160" s="89">
        <v>1</v>
      </c>
      <c r="G160" s="90">
        <v>4</v>
      </c>
      <c r="H160" s="90">
        <v>2</v>
      </c>
      <c r="I160" s="90">
        <v>2</v>
      </c>
      <c r="J160" s="90">
        <v>0</v>
      </c>
      <c r="K160" s="90">
        <v>2</v>
      </c>
      <c r="L160" s="91">
        <v>2</v>
      </c>
      <c r="M160" s="92">
        <v>0.5</v>
      </c>
      <c r="N160" s="92">
        <v>0</v>
      </c>
      <c r="O160" s="90">
        <v>0</v>
      </c>
      <c r="P160" s="93">
        <v>120</v>
      </c>
    </row>
    <row r="161" spans="2:16" x14ac:dyDescent="0.3">
      <c r="B161" s="86" t="s">
        <v>646</v>
      </c>
      <c r="C161" s="87" t="s">
        <v>27</v>
      </c>
      <c r="D161" s="88" t="s">
        <v>307</v>
      </c>
      <c r="E161" s="89" t="s">
        <v>21</v>
      </c>
      <c r="F161" s="89">
        <v>1</v>
      </c>
      <c r="G161" s="90">
        <v>4</v>
      </c>
      <c r="H161" s="90">
        <v>2</v>
      </c>
      <c r="I161" s="90">
        <v>0</v>
      </c>
      <c r="J161" s="90">
        <v>0</v>
      </c>
      <c r="K161" s="90">
        <v>4</v>
      </c>
      <c r="L161" s="91">
        <v>2</v>
      </c>
      <c r="M161" s="92">
        <v>0</v>
      </c>
      <c r="N161" s="92">
        <v>0</v>
      </c>
      <c r="O161" s="90">
        <v>0</v>
      </c>
      <c r="P161" s="93">
        <v>160</v>
      </c>
    </row>
    <row r="162" spans="2:16" x14ac:dyDescent="0.3">
      <c r="B162" s="86" t="s">
        <v>163</v>
      </c>
      <c r="C162" s="87" t="s">
        <v>27</v>
      </c>
      <c r="D162" s="88" t="s">
        <v>281</v>
      </c>
      <c r="E162" s="89" t="s">
        <v>21</v>
      </c>
      <c r="F162" s="89">
        <v>1</v>
      </c>
      <c r="G162" s="90">
        <v>4</v>
      </c>
      <c r="H162" s="90">
        <v>2</v>
      </c>
      <c r="I162" s="90">
        <v>1</v>
      </c>
      <c r="J162" s="90">
        <v>0</v>
      </c>
      <c r="K162" s="90">
        <v>3</v>
      </c>
      <c r="L162" s="91">
        <v>2</v>
      </c>
      <c r="M162" s="92">
        <v>0.25</v>
      </c>
      <c r="N162" s="92">
        <v>0</v>
      </c>
      <c r="O162" s="90">
        <v>0</v>
      </c>
      <c r="P162" s="93">
        <v>140</v>
      </c>
    </row>
    <row r="163" spans="2:16" x14ac:dyDescent="0.3">
      <c r="B163" s="86" t="s">
        <v>574</v>
      </c>
      <c r="C163" s="87" t="s">
        <v>27</v>
      </c>
      <c r="D163" s="88" t="s">
        <v>84</v>
      </c>
      <c r="E163" s="89" t="s">
        <v>21</v>
      </c>
      <c r="F163" s="89">
        <v>1</v>
      </c>
      <c r="G163" s="90">
        <v>4</v>
      </c>
      <c r="H163" s="90">
        <v>2</v>
      </c>
      <c r="I163" s="90">
        <v>0</v>
      </c>
      <c r="J163" s="90">
        <v>0</v>
      </c>
      <c r="K163" s="90">
        <v>4</v>
      </c>
      <c r="L163" s="91">
        <v>2</v>
      </c>
      <c r="M163" s="92">
        <v>0</v>
      </c>
      <c r="N163" s="92">
        <v>0</v>
      </c>
      <c r="O163" s="90">
        <v>0</v>
      </c>
      <c r="P163" s="93">
        <v>160</v>
      </c>
    </row>
    <row r="164" spans="2:16" x14ac:dyDescent="0.3">
      <c r="B164" s="86" t="s">
        <v>639</v>
      </c>
      <c r="C164" s="87" t="s">
        <v>27</v>
      </c>
      <c r="D164" s="88" t="s">
        <v>293</v>
      </c>
      <c r="E164" s="89" t="s">
        <v>21</v>
      </c>
      <c r="F164" s="89">
        <v>1</v>
      </c>
      <c r="G164" s="90">
        <v>4</v>
      </c>
      <c r="H164" s="90">
        <v>2</v>
      </c>
      <c r="I164" s="90">
        <v>1</v>
      </c>
      <c r="J164" s="90">
        <v>0</v>
      </c>
      <c r="K164" s="90">
        <v>3</v>
      </c>
      <c r="L164" s="91">
        <v>2</v>
      </c>
      <c r="M164" s="92">
        <v>0.25</v>
      </c>
      <c r="N164" s="92">
        <v>0</v>
      </c>
      <c r="O164" s="90">
        <v>8</v>
      </c>
      <c r="P164" s="93">
        <v>140</v>
      </c>
    </row>
    <row r="165" spans="2:16" x14ac:dyDescent="0.3">
      <c r="B165" s="86" t="s">
        <v>119</v>
      </c>
      <c r="C165" s="87" t="s">
        <v>24</v>
      </c>
      <c r="D165" s="88" t="s">
        <v>301</v>
      </c>
      <c r="E165" s="89" t="s">
        <v>28</v>
      </c>
      <c r="F165" s="89">
        <v>2</v>
      </c>
      <c r="G165" s="90">
        <v>16</v>
      </c>
      <c r="H165" s="90">
        <v>16</v>
      </c>
      <c r="I165" s="90">
        <v>0</v>
      </c>
      <c r="J165" s="90">
        <v>2</v>
      </c>
      <c r="K165" s="90">
        <v>16</v>
      </c>
      <c r="L165" s="91">
        <v>14</v>
      </c>
      <c r="M165" s="92">
        <v>0</v>
      </c>
      <c r="N165" s="92">
        <v>0.125</v>
      </c>
      <c r="O165" s="90">
        <v>0</v>
      </c>
      <c r="P165" s="93">
        <v>880</v>
      </c>
    </row>
    <row r="166" spans="2:16" x14ac:dyDescent="0.3">
      <c r="B166" s="86" t="s">
        <v>526</v>
      </c>
      <c r="C166" s="87" t="s">
        <v>24</v>
      </c>
      <c r="D166" s="88" t="s">
        <v>279</v>
      </c>
      <c r="E166" s="89" t="s">
        <v>28</v>
      </c>
      <c r="F166" s="89">
        <v>1</v>
      </c>
      <c r="G166" s="90">
        <v>8</v>
      </c>
      <c r="H166" s="90">
        <v>8</v>
      </c>
      <c r="I166" s="90">
        <v>6</v>
      </c>
      <c r="J166" s="90">
        <v>4</v>
      </c>
      <c r="K166" s="90">
        <v>2</v>
      </c>
      <c r="L166" s="91">
        <v>4</v>
      </c>
      <c r="M166" s="92">
        <v>0.75</v>
      </c>
      <c r="N166" s="92">
        <v>0.5</v>
      </c>
      <c r="O166" s="90">
        <v>200</v>
      </c>
      <c r="P166" s="93">
        <v>200</v>
      </c>
    </row>
    <row r="167" spans="2:16" x14ac:dyDescent="0.3">
      <c r="B167" s="86" t="s">
        <v>640</v>
      </c>
      <c r="C167" s="87" t="s">
        <v>31</v>
      </c>
      <c r="D167" s="88" t="s">
        <v>263</v>
      </c>
      <c r="E167" s="89" t="s">
        <v>21</v>
      </c>
      <c r="F167" s="89">
        <v>1</v>
      </c>
      <c r="G167" s="90">
        <v>4</v>
      </c>
      <c r="H167" s="90">
        <v>2</v>
      </c>
      <c r="I167" s="90">
        <v>0</v>
      </c>
      <c r="J167" s="90">
        <v>0</v>
      </c>
      <c r="K167" s="90">
        <v>4</v>
      </c>
      <c r="L167" s="91">
        <v>2</v>
      </c>
      <c r="M167" s="92">
        <v>0</v>
      </c>
      <c r="N167" s="92">
        <v>0</v>
      </c>
      <c r="O167" s="90">
        <v>0</v>
      </c>
      <c r="P167" s="93">
        <v>160</v>
      </c>
    </row>
    <row r="168" spans="2:16" x14ac:dyDescent="0.3">
      <c r="B168" s="86" t="s">
        <v>538</v>
      </c>
      <c r="C168" s="87" t="s">
        <v>31</v>
      </c>
      <c r="D168" s="88" t="s">
        <v>261</v>
      </c>
      <c r="E168" s="89" t="s">
        <v>21</v>
      </c>
      <c r="F168" s="89">
        <v>2</v>
      </c>
      <c r="G168" s="90">
        <v>8</v>
      </c>
      <c r="H168" s="90">
        <v>4</v>
      </c>
      <c r="I168" s="90">
        <v>2</v>
      </c>
      <c r="J168" s="90">
        <v>2</v>
      </c>
      <c r="K168" s="90">
        <v>6</v>
      </c>
      <c r="L168" s="91">
        <v>2</v>
      </c>
      <c r="M168" s="92">
        <v>0.25</v>
      </c>
      <c r="N168" s="92">
        <v>0.5</v>
      </c>
      <c r="O168" s="90">
        <v>80</v>
      </c>
      <c r="P168" s="93">
        <v>200</v>
      </c>
    </row>
    <row r="169" spans="2:16" x14ac:dyDescent="0.3">
      <c r="B169" s="86" t="s">
        <v>540</v>
      </c>
      <c r="C169" s="87" t="s">
        <v>20</v>
      </c>
      <c r="D169" s="88" t="s">
        <v>325</v>
      </c>
      <c r="E169" s="89" t="s">
        <v>35</v>
      </c>
      <c r="F169" s="89">
        <v>1</v>
      </c>
      <c r="G169" s="90">
        <v>6</v>
      </c>
      <c r="H169" s="90">
        <v>6</v>
      </c>
      <c r="I169" s="90">
        <v>2</v>
      </c>
      <c r="J169" s="90">
        <v>2</v>
      </c>
      <c r="K169" s="90">
        <v>4</v>
      </c>
      <c r="L169" s="91">
        <v>4</v>
      </c>
      <c r="M169" s="92">
        <v>0.33333333333333331</v>
      </c>
      <c r="N169" s="92">
        <v>0.33333333333333331</v>
      </c>
      <c r="O169" s="90">
        <v>120</v>
      </c>
      <c r="P169" s="93">
        <v>240</v>
      </c>
    </row>
    <row r="170" spans="2:16" x14ac:dyDescent="0.3">
      <c r="B170" s="86" t="s">
        <v>547</v>
      </c>
      <c r="C170" s="87" t="s">
        <v>20</v>
      </c>
      <c r="D170" s="88" t="s">
        <v>309</v>
      </c>
      <c r="E170" s="89" t="s">
        <v>35</v>
      </c>
      <c r="F170" s="89">
        <v>1</v>
      </c>
      <c r="G170" s="90">
        <v>6</v>
      </c>
      <c r="H170" s="90">
        <v>6</v>
      </c>
      <c r="I170" s="90">
        <v>2</v>
      </c>
      <c r="J170" s="90">
        <v>2</v>
      </c>
      <c r="K170" s="90">
        <v>4</v>
      </c>
      <c r="L170" s="91">
        <v>4</v>
      </c>
      <c r="M170" s="92">
        <v>0.33333333333333331</v>
      </c>
      <c r="N170" s="92">
        <v>0.33333333333333331</v>
      </c>
      <c r="O170" s="90">
        <v>120</v>
      </c>
      <c r="P170" s="93">
        <v>240</v>
      </c>
    </row>
    <row r="171" spans="2:16" x14ac:dyDescent="0.3">
      <c r="B171" s="86" t="s">
        <v>543</v>
      </c>
      <c r="C171" s="87" t="s">
        <v>20</v>
      </c>
      <c r="D171" s="88" t="s">
        <v>265</v>
      </c>
      <c r="E171" s="89" t="s">
        <v>21</v>
      </c>
      <c r="F171" s="89">
        <v>2</v>
      </c>
      <c r="G171" s="90">
        <v>8</v>
      </c>
      <c r="H171" s="90">
        <v>4</v>
      </c>
      <c r="I171" s="90">
        <v>2</v>
      </c>
      <c r="J171" s="90">
        <v>2</v>
      </c>
      <c r="K171" s="90">
        <v>6</v>
      </c>
      <c r="L171" s="91">
        <v>2</v>
      </c>
      <c r="M171" s="92">
        <v>0.25</v>
      </c>
      <c r="N171" s="92">
        <v>0.5</v>
      </c>
      <c r="O171" s="90">
        <v>120</v>
      </c>
      <c r="P171" s="93">
        <v>200</v>
      </c>
    </row>
    <row r="172" spans="2:16" x14ac:dyDescent="0.3">
      <c r="B172" s="86" t="s">
        <v>626</v>
      </c>
      <c r="C172" s="87" t="s">
        <v>20</v>
      </c>
      <c r="D172" s="88" t="s">
        <v>357</v>
      </c>
      <c r="E172" s="89" t="s">
        <v>21</v>
      </c>
      <c r="F172" s="89">
        <v>1</v>
      </c>
      <c r="G172" s="90">
        <v>4</v>
      </c>
      <c r="H172" s="90">
        <v>2</v>
      </c>
      <c r="I172" s="90">
        <v>0</v>
      </c>
      <c r="J172" s="90">
        <v>0</v>
      </c>
      <c r="K172" s="90">
        <v>4</v>
      </c>
      <c r="L172" s="91">
        <v>2</v>
      </c>
      <c r="M172" s="92">
        <v>0</v>
      </c>
      <c r="N172" s="92">
        <v>0</v>
      </c>
      <c r="O172" s="90">
        <v>0</v>
      </c>
      <c r="P172" s="93">
        <v>160</v>
      </c>
    </row>
    <row r="173" spans="2:16" x14ac:dyDescent="0.3">
      <c r="B173" s="86" t="s">
        <v>597</v>
      </c>
      <c r="C173" s="87" t="s">
        <v>20</v>
      </c>
      <c r="D173" s="88" t="s">
        <v>335</v>
      </c>
      <c r="E173" s="89" t="s">
        <v>21</v>
      </c>
      <c r="F173" s="89">
        <v>1</v>
      </c>
      <c r="G173" s="90">
        <v>4</v>
      </c>
      <c r="H173" s="90">
        <v>2</v>
      </c>
      <c r="I173" s="90">
        <v>0</v>
      </c>
      <c r="J173" s="90">
        <v>0</v>
      </c>
      <c r="K173" s="90">
        <v>4</v>
      </c>
      <c r="L173" s="91">
        <v>2</v>
      </c>
      <c r="M173" s="92">
        <v>0</v>
      </c>
      <c r="N173" s="92">
        <v>0</v>
      </c>
      <c r="O173" s="90">
        <v>0</v>
      </c>
      <c r="P173" s="93">
        <v>160</v>
      </c>
    </row>
    <row r="174" spans="2:16" x14ac:dyDescent="0.3">
      <c r="B174" s="86" t="s">
        <v>648</v>
      </c>
      <c r="C174" s="87" t="s">
        <v>63</v>
      </c>
      <c r="D174" s="88" t="s">
        <v>339</v>
      </c>
      <c r="E174" s="89" t="s">
        <v>21</v>
      </c>
      <c r="F174" s="89">
        <v>1</v>
      </c>
      <c r="G174" s="90">
        <v>4</v>
      </c>
      <c r="H174" s="90">
        <v>2</v>
      </c>
      <c r="I174" s="90">
        <v>0</v>
      </c>
      <c r="J174" s="90">
        <v>0</v>
      </c>
      <c r="K174" s="90">
        <v>4</v>
      </c>
      <c r="L174" s="91">
        <v>2</v>
      </c>
      <c r="M174" s="92">
        <v>0</v>
      </c>
      <c r="N174" s="92">
        <v>0</v>
      </c>
      <c r="O174" s="90">
        <v>0</v>
      </c>
      <c r="P174" s="93">
        <v>160</v>
      </c>
    </row>
    <row r="175" spans="2:16" x14ac:dyDescent="0.3">
      <c r="B175" s="86" t="s">
        <v>614</v>
      </c>
      <c r="C175" s="87" t="s">
        <v>56</v>
      </c>
      <c r="D175" s="88" t="s">
        <v>379</v>
      </c>
      <c r="E175" s="89" t="s">
        <v>21</v>
      </c>
      <c r="F175" s="89">
        <v>1</v>
      </c>
      <c r="G175" s="90">
        <v>4</v>
      </c>
      <c r="H175" s="90">
        <v>2</v>
      </c>
      <c r="I175" s="90">
        <v>0</v>
      </c>
      <c r="J175" s="90">
        <v>0</v>
      </c>
      <c r="K175" s="90">
        <v>4</v>
      </c>
      <c r="L175" s="91">
        <v>2</v>
      </c>
      <c r="M175" s="92">
        <v>0</v>
      </c>
      <c r="N175" s="92">
        <v>0</v>
      </c>
      <c r="O175" s="90">
        <v>0</v>
      </c>
      <c r="P175" s="93">
        <v>160</v>
      </c>
    </row>
    <row r="176" spans="2:16" x14ac:dyDescent="0.3">
      <c r="B176" s="86" t="s">
        <v>598</v>
      </c>
      <c r="C176" s="87" t="s">
        <v>56</v>
      </c>
      <c r="D176" s="88" t="s">
        <v>377</v>
      </c>
      <c r="E176" s="89" t="s">
        <v>21</v>
      </c>
      <c r="F176" s="89">
        <v>1</v>
      </c>
      <c r="G176" s="90">
        <v>4</v>
      </c>
      <c r="H176" s="90">
        <v>2</v>
      </c>
      <c r="I176" s="90">
        <v>0</v>
      </c>
      <c r="J176" s="90">
        <v>0</v>
      </c>
      <c r="K176" s="90">
        <v>4</v>
      </c>
      <c r="L176" s="91">
        <v>2</v>
      </c>
      <c r="M176" s="92">
        <v>0</v>
      </c>
      <c r="N176" s="92">
        <v>0</v>
      </c>
      <c r="O176" s="90">
        <v>0</v>
      </c>
      <c r="P176" s="93">
        <v>160</v>
      </c>
    </row>
    <row r="177" spans="2:16" x14ac:dyDescent="0.3">
      <c r="B177" s="86" t="s">
        <v>621</v>
      </c>
      <c r="C177" s="87" t="s">
        <v>56</v>
      </c>
      <c r="D177" s="88" t="s">
        <v>355</v>
      </c>
      <c r="E177" s="89" t="s">
        <v>35</v>
      </c>
      <c r="F177" s="89">
        <v>1</v>
      </c>
      <c r="G177" s="90">
        <v>6</v>
      </c>
      <c r="H177" s="90">
        <v>6</v>
      </c>
      <c r="I177" s="90">
        <v>2</v>
      </c>
      <c r="J177" s="90">
        <v>0</v>
      </c>
      <c r="K177" s="90">
        <v>4</v>
      </c>
      <c r="L177" s="91">
        <v>6</v>
      </c>
      <c r="M177" s="92">
        <v>0.33333333333333331</v>
      </c>
      <c r="N177" s="92">
        <v>0</v>
      </c>
      <c r="O177" s="90">
        <v>0</v>
      </c>
      <c r="P177" s="93">
        <v>320</v>
      </c>
    </row>
    <row r="178" spans="2:16" x14ac:dyDescent="0.3">
      <c r="B178" s="86" t="s">
        <v>505</v>
      </c>
      <c r="C178" s="87" t="s">
        <v>56</v>
      </c>
      <c r="D178" s="88" t="s">
        <v>700</v>
      </c>
      <c r="E178" s="89" t="s">
        <v>21</v>
      </c>
      <c r="F178" s="89">
        <v>2</v>
      </c>
      <c r="G178" s="90">
        <v>8</v>
      </c>
      <c r="H178" s="90">
        <v>4</v>
      </c>
      <c r="I178" s="90">
        <v>0</v>
      </c>
      <c r="J178" s="90">
        <v>0</v>
      </c>
      <c r="K178" s="90">
        <v>8</v>
      </c>
      <c r="L178" s="91">
        <v>4</v>
      </c>
      <c r="M178" s="92">
        <v>0</v>
      </c>
      <c r="N178" s="92">
        <v>0</v>
      </c>
      <c r="O178" s="90">
        <v>0</v>
      </c>
      <c r="P178" s="93">
        <v>320</v>
      </c>
    </row>
    <row r="179" spans="2:16" x14ac:dyDescent="0.3">
      <c r="B179" s="86" t="s">
        <v>544</v>
      </c>
      <c r="C179" s="87" t="s">
        <v>56</v>
      </c>
      <c r="D179" s="88" t="s">
        <v>349</v>
      </c>
      <c r="E179" s="89" t="s">
        <v>28</v>
      </c>
      <c r="F179" s="89">
        <v>1</v>
      </c>
      <c r="G179" s="90">
        <v>8</v>
      </c>
      <c r="H179" s="90">
        <v>8</v>
      </c>
      <c r="I179" s="90">
        <v>0</v>
      </c>
      <c r="J179" s="90">
        <v>0</v>
      </c>
      <c r="K179" s="90">
        <v>8</v>
      </c>
      <c r="L179" s="91">
        <v>8</v>
      </c>
      <c r="M179" s="92">
        <v>0</v>
      </c>
      <c r="N179" s="92">
        <v>0</v>
      </c>
      <c r="O179" s="90">
        <v>0</v>
      </c>
      <c r="P179" s="93">
        <v>480</v>
      </c>
    </row>
    <row r="180" spans="2:16" x14ac:dyDescent="0.3">
      <c r="B180" s="86" t="s">
        <v>651</v>
      </c>
      <c r="C180" s="87" t="s">
        <v>431</v>
      </c>
      <c r="D180" s="88" t="s">
        <v>701</v>
      </c>
      <c r="E180" s="89" t="s">
        <v>21</v>
      </c>
      <c r="F180" s="89">
        <v>1</v>
      </c>
      <c r="G180" s="90">
        <v>4</v>
      </c>
      <c r="H180" s="90">
        <v>2</v>
      </c>
      <c r="I180" s="90">
        <v>0</v>
      </c>
      <c r="J180" s="90">
        <v>0</v>
      </c>
      <c r="K180" s="90">
        <v>4</v>
      </c>
      <c r="L180" s="91">
        <v>2</v>
      </c>
      <c r="M180" s="92">
        <v>0</v>
      </c>
      <c r="N180" s="92">
        <v>0</v>
      </c>
      <c r="O180" s="90">
        <v>0</v>
      </c>
      <c r="P180" s="93">
        <v>160</v>
      </c>
    </row>
    <row r="181" spans="2:16" x14ac:dyDescent="0.3">
      <c r="B181" s="86" t="s">
        <v>627</v>
      </c>
      <c r="C181" s="87" t="s">
        <v>159</v>
      </c>
      <c r="D181" s="88" t="s">
        <v>365</v>
      </c>
      <c r="E181" s="89" t="s">
        <v>21</v>
      </c>
      <c r="F181" s="89">
        <v>1</v>
      </c>
      <c r="G181" s="90">
        <v>4</v>
      </c>
      <c r="H181" s="90">
        <v>2</v>
      </c>
      <c r="I181" s="90">
        <v>5</v>
      </c>
      <c r="J181" s="90">
        <v>2</v>
      </c>
      <c r="K181" s="90">
        <v>-1</v>
      </c>
      <c r="L181" s="91">
        <v>0</v>
      </c>
      <c r="M181" s="92">
        <v>1.25</v>
      </c>
      <c r="N181" s="92">
        <v>1</v>
      </c>
      <c r="O181" s="90">
        <v>40</v>
      </c>
      <c r="P181" s="93">
        <v>-20</v>
      </c>
    </row>
    <row r="182" spans="2:16" x14ac:dyDescent="0.3">
      <c r="B182" s="86" t="s">
        <v>649</v>
      </c>
      <c r="C182" s="87" t="s">
        <v>159</v>
      </c>
      <c r="D182" s="88" t="s">
        <v>367</v>
      </c>
      <c r="E182" s="89" t="s">
        <v>21</v>
      </c>
      <c r="F182" s="89">
        <v>1</v>
      </c>
      <c r="G182" s="90">
        <v>4</v>
      </c>
      <c r="H182" s="90">
        <v>2</v>
      </c>
      <c r="I182" s="90">
        <v>0</v>
      </c>
      <c r="J182" s="90">
        <v>0</v>
      </c>
      <c r="K182" s="90">
        <v>4</v>
      </c>
      <c r="L182" s="91">
        <v>2</v>
      </c>
      <c r="M182" s="92">
        <v>0</v>
      </c>
      <c r="N182" s="92">
        <v>0</v>
      </c>
      <c r="O182" s="90">
        <v>0</v>
      </c>
      <c r="P182" s="93">
        <v>160</v>
      </c>
    </row>
    <row r="183" spans="2:16" x14ac:dyDescent="0.3">
      <c r="B183" s="86" t="s">
        <v>653</v>
      </c>
      <c r="C183" s="87" t="s">
        <v>431</v>
      </c>
      <c r="D183" s="88" t="s">
        <v>702</v>
      </c>
      <c r="E183" s="89" t="s">
        <v>21</v>
      </c>
      <c r="F183" s="89">
        <v>1</v>
      </c>
      <c r="G183" s="90">
        <v>4</v>
      </c>
      <c r="H183" s="90">
        <v>2</v>
      </c>
      <c r="I183" s="90">
        <v>0</v>
      </c>
      <c r="J183" s="90">
        <v>0</v>
      </c>
      <c r="K183" s="90">
        <v>4</v>
      </c>
      <c r="L183" s="91">
        <v>2</v>
      </c>
      <c r="M183" s="92">
        <v>0</v>
      </c>
      <c r="N183" s="92">
        <v>0</v>
      </c>
      <c r="O183" s="90">
        <v>0</v>
      </c>
      <c r="P183" s="93">
        <v>160</v>
      </c>
    </row>
    <row r="184" spans="2:16" x14ac:dyDescent="0.3">
      <c r="B184" s="86" t="s">
        <v>655</v>
      </c>
      <c r="C184" s="87" t="s">
        <v>24</v>
      </c>
      <c r="D184" s="88" t="s">
        <v>381</v>
      </c>
      <c r="E184" s="89" t="s">
        <v>28</v>
      </c>
      <c r="F184" s="89">
        <v>2</v>
      </c>
      <c r="G184" s="90">
        <v>16</v>
      </c>
      <c r="H184" s="90">
        <v>16</v>
      </c>
      <c r="I184" s="90">
        <v>1</v>
      </c>
      <c r="J184" s="96">
        <v>7</v>
      </c>
      <c r="K184" s="90">
        <v>15</v>
      </c>
      <c r="L184" s="91">
        <v>9</v>
      </c>
      <c r="M184" s="92">
        <v>6.25E-2</v>
      </c>
      <c r="N184" s="92">
        <v>0.4375</v>
      </c>
      <c r="O184" s="90">
        <v>140</v>
      </c>
      <c r="P184" s="93">
        <v>660</v>
      </c>
    </row>
    <row r="185" spans="2:16" x14ac:dyDescent="0.3">
      <c r="B185" s="86" t="s">
        <v>507</v>
      </c>
      <c r="C185" s="87" t="s">
        <v>24</v>
      </c>
      <c r="D185" s="88" t="s">
        <v>363</v>
      </c>
      <c r="E185" s="89" t="s">
        <v>35</v>
      </c>
      <c r="F185" s="89">
        <v>2</v>
      </c>
      <c r="G185" s="90">
        <v>12</v>
      </c>
      <c r="H185" s="90">
        <v>12</v>
      </c>
      <c r="I185" s="90">
        <v>10</v>
      </c>
      <c r="J185" s="90">
        <v>4</v>
      </c>
      <c r="K185" s="90">
        <v>2</v>
      </c>
      <c r="L185" s="91">
        <v>8</v>
      </c>
      <c r="M185" s="92">
        <v>0.83333333333333337</v>
      </c>
      <c r="N185" s="92">
        <v>0.33333333333333331</v>
      </c>
      <c r="O185" s="90">
        <v>240</v>
      </c>
      <c r="P185" s="93">
        <v>360</v>
      </c>
    </row>
    <row r="186" spans="2:16" x14ac:dyDescent="0.3">
      <c r="B186" s="86" t="s">
        <v>320</v>
      </c>
      <c r="C186" s="87" t="s">
        <v>27</v>
      </c>
      <c r="D186" s="88" t="s">
        <v>373</v>
      </c>
      <c r="E186" s="89" t="s">
        <v>21</v>
      </c>
      <c r="F186" s="89">
        <v>1</v>
      </c>
      <c r="G186" s="90">
        <v>4</v>
      </c>
      <c r="H186" s="90">
        <v>2</v>
      </c>
      <c r="I186" s="90">
        <v>0</v>
      </c>
      <c r="J186" s="90">
        <v>0</v>
      </c>
      <c r="K186" s="90">
        <v>4</v>
      </c>
      <c r="L186" s="91">
        <v>2</v>
      </c>
      <c r="M186" s="92">
        <v>0</v>
      </c>
      <c r="N186" s="92">
        <v>0</v>
      </c>
      <c r="O186" s="90">
        <v>0</v>
      </c>
      <c r="P186" s="93">
        <v>160</v>
      </c>
    </row>
    <row r="187" spans="2:16" x14ac:dyDescent="0.3">
      <c r="B187" s="86" t="s">
        <v>657</v>
      </c>
      <c r="C187" s="87" t="s">
        <v>63</v>
      </c>
      <c r="D187" s="88" t="s">
        <v>703</v>
      </c>
      <c r="E187" s="89" t="s">
        <v>21</v>
      </c>
      <c r="F187" s="89">
        <v>1</v>
      </c>
      <c r="G187" s="90">
        <v>4</v>
      </c>
      <c r="H187" s="90">
        <v>2</v>
      </c>
      <c r="I187" s="90">
        <v>0</v>
      </c>
      <c r="J187" s="90">
        <v>0</v>
      </c>
      <c r="K187" s="90">
        <v>4</v>
      </c>
      <c r="L187" s="91">
        <v>2</v>
      </c>
      <c r="M187" s="92">
        <v>0</v>
      </c>
      <c r="N187" s="92">
        <v>0</v>
      </c>
      <c r="O187" s="90">
        <v>0</v>
      </c>
      <c r="P187" s="93">
        <v>160</v>
      </c>
    </row>
    <row r="188" spans="2:16" x14ac:dyDescent="0.3">
      <c r="B188" s="86" t="s">
        <v>312</v>
      </c>
      <c r="C188" s="87" t="s">
        <v>63</v>
      </c>
      <c r="D188" s="88" t="s">
        <v>375</v>
      </c>
      <c r="E188" s="89" t="s">
        <v>21</v>
      </c>
      <c r="F188" s="89">
        <v>1</v>
      </c>
      <c r="G188" s="90">
        <v>4</v>
      </c>
      <c r="H188" s="90">
        <v>2</v>
      </c>
      <c r="I188" s="90">
        <v>0</v>
      </c>
      <c r="J188" s="90">
        <v>0</v>
      </c>
      <c r="K188" s="90">
        <v>4</v>
      </c>
      <c r="L188" s="91">
        <v>2</v>
      </c>
      <c r="M188" s="92">
        <v>0</v>
      </c>
      <c r="N188" s="92">
        <v>0</v>
      </c>
      <c r="O188" s="90">
        <v>0</v>
      </c>
      <c r="P188" s="93">
        <v>160</v>
      </c>
    </row>
    <row r="189" spans="2:16" x14ac:dyDescent="0.3">
      <c r="B189" s="86" t="s">
        <v>619</v>
      </c>
      <c r="C189" s="87" t="s">
        <v>63</v>
      </c>
      <c r="D189" s="88" t="s">
        <v>337</v>
      </c>
      <c r="E189" s="89" t="s">
        <v>21</v>
      </c>
      <c r="F189" s="89">
        <v>1</v>
      </c>
      <c r="G189" s="90">
        <v>4</v>
      </c>
      <c r="H189" s="90">
        <v>2</v>
      </c>
      <c r="I189" s="90">
        <v>0</v>
      </c>
      <c r="J189" s="90">
        <v>0</v>
      </c>
      <c r="K189" s="90">
        <v>4</v>
      </c>
      <c r="L189" s="91">
        <v>2</v>
      </c>
      <c r="M189" s="92">
        <v>0</v>
      </c>
      <c r="N189" s="92">
        <v>0</v>
      </c>
      <c r="O189" s="90">
        <v>0</v>
      </c>
      <c r="P189" s="93">
        <v>160</v>
      </c>
    </row>
    <row r="190" spans="2:16" x14ac:dyDescent="0.3">
      <c r="B190" s="86" t="s">
        <v>658</v>
      </c>
      <c r="C190" s="87" t="s">
        <v>63</v>
      </c>
      <c r="D190" s="88" t="s">
        <v>353</v>
      </c>
      <c r="E190" s="89" t="s">
        <v>21</v>
      </c>
      <c r="F190" s="89">
        <v>1</v>
      </c>
      <c r="G190" s="90">
        <v>4</v>
      </c>
      <c r="H190" s="90">
        <v>2</v>
      </c>
      <c r="I190" s="90">
        <v>0</v>
      </c>
      <c r="J190" s="90">
        <v>0</v>
      </c>
      <c r="K190" s="90">
        <v>4</v>
      </c>
      <c r="L190" s="91">
        <v>2</v>
      </c>
      <c r="M190" s="92">
        <v>0</v>
      </c>
      <c r="N190" s="92">
        <v>0</v>
      </c>
      <c r="O190" s="90">
        <v>0</v>
      </c>
      <c r="P190" s="93">
        <v>160</v>
      </c>
    </row>
    <row r="191" spans="2:16" x14ac:dyDescent="0.3">
      <c r="B191" s="86" t="s">
        <v>660</v>
      </c>
      <c r="C191" s="87" t="s">
        <v>56</v>
      </c>
      <c r="D191" s="88" t="s">
        <v>704</v>
      </c>
      <c r="E191" s="89" t="s">
        <v>21</v>
      </c>
      <c r="F191" s="89">
        <v>1</v>
      </c>
      <c r="G191" s="90">
        <v>4</v>
      </c>
      <c r="H191" s="90">
        <v>2</v>
      </c>
      <c r="I191" s="90">
        <v>0</v>
      </c>
      <c r="J191" s="90">
        <v>0</v>
      </c>
      <c r="K191" s="90">
        <v>4</v>
      </c>
      <c r="L191" s="91">
        <v>2</v>
      </c>
      <c r="M191" s="92">
        <v>0</v>
      </c>
      <c r="N191" s="92">
        <v>0</v>
      </c>
      <c r="O191" s="90">
        <v>0</v>
      </c>
      <c r="P191" s="93">
        <v>160</v>
      </c>
    </row>
    <row r="192" spans="2:16" x14ac:dyDescent="0.3">
      <c r="B192" s="86" t="s">
        <v>662</v>
      </c>
      <c r="C192" s="87" t="s">
        <v>63</v>
      </c>
      <c r="D192" s="88" t="s">
        <v>369</v>
      </c>
      <c r="E192" s="89" t="s">
        <v>21</v>
      </c>
      <c r="F192" s="89">
        <v>1</v>
      </c>
      <c r="G192" s="90">
        <v>4</v>
      </c>
      <c r="H192" s="90">
        <v>2</v>
      </c>
      <c r="I192" s="90">
        <v>0</v>
      </c>
      <c r="J192" s="90">
        <v>0</v>
      </c>
      <c r="K192" s="90">
        <v>4</v>
      </c>
      <c r="L192" s="91">
        <v>2</v>
      </c>
      <c r="M192" s="92">
        <v>0</v>
      </c>
      <c r="N192" s="92">
        <v>0</v>
      </c>
      <c r="O192" s="90">
        <v>0</v>
      </c>
      <c r="P192" s="93">
        <v>160</v>
      </c>
    </row>
    <row r="193" spans="2:16" x14ac:dyDescent="0.3">
      <c r="B193" s="86" t="s">
        <v>552</v>
      </c>
      <c r="C193" s="87" t="s">
        <v>63</v>
      </c>
      <c r="D193" s="88" t="s">
        <v>345</v>
      </c>
      <c r="E193" s="89" t="s">
        <v>21</v>
      </c>
      <c r="F193" s="89">
        <v>1</v>
      </c>
      <c r="G193" s="90">
        <v>4</v>
      </c>
      <c r="H193" s="90">
        <v>2</v>
      </c>
      <c r="I193" s="90">
        <v>0</v>
      </c>
      <c r="J193" s="90">
        <v>0</v>
      </c>
      <c r="K193" s="90">
        <v>4</v>
      </c>
      <c r="L193" s="91">
        <v>2</v>
      </c>
      <c r="M193" s="92">
        <v>0</v>
      </c>
      <c r="N193" s="92">
        <v>0</v>
      </c>
      <c r="O193" s="90">
        <v>0</v>
      </c>
      <c r="P193" s="93">
        <v>160</v>
      </c>
    </row>
    <row r="194" spans="2:16" x14ac:dyDescent="0.3">
      <c r="B194" s="86" t="s">
        <v>594</v>
      </c>
      <c r="C194" s="87" t="s">
        <v>27</v>
      </c>
      <c r="D194" s="88" t="s">
        <v>361</v>
      </c>
      <c r="E194" s="89" t="s">
        <v>21</v>
      </c>
      <c r="F194" s="89">
        <v>1</v>
      </c>
      <c r="G194" s="90">
        <v>4</v>
      </c>
      <c r="H194" s="90">
        <v>2</v>
      </c>
      <c r="I194" s="90">
        <v>2</v>
      </c>
      <c r="J194" s="90">
        <v>0</v>
      </c>
      <c r="K194" s="90">
        <v>2</v>
      </c>
      <c r="L194" s="91">
        <v>2</v>
      </c>
      <c r="M194" s="92">
        <v>0.5</v>
      </c>
      <c r="N194" s="92">
        <v>0</v>
      </c>
      <c r="O194" s="90">
        <v>0</v>
      </c>
      <c r="P194" s="93">
        <v>120</v>
      </c>
    </row>
    <row r="195" spans="2:16" x14ac:dyDescent="0.3">
      <c r="B195" s="86" t="s">
        <v>551</v>
      </c>
      <c r="C195" s="87" t="s">
        <v>20</v>
      </c>
      <c r="D195" s="88" t="s">
        <v>341</v>
      </c>
      <c r="E195" s="89" t="s">
        <v>21</v>
      </c>
      <c r="F195" s="89">
        <v>1</v>
      </c>
      <c r="G195" s="90">
        <v>4</v>
      </c>
      <c r="H195" s="90">
        <v>2</v>
      </c>
      <c r="I195" s="90">
        <v>0</v>
      </c>
      <c r="J195" s="90">
        <v>0</v>
      </c>
      <c r="K195" s="90">
        <v>4</v>
      </c>
      <c r="L195" s="91">
        <v>2</v>
      </c>
      <c r="M195" s="92">
        <v>0</v>
      </c>
      <c r="N195" s="92">
        <v>0</v>
      </c>
      <c r="O195" s="90">
        <v>0</v>
      </c>
      <c r="P195" s="93">
        <v>160</v>
      </c>
    </row>
    <row r="196" spans="2:16" x14ac:dyDescent="0.3">
      <c r="B196" s="86" t="s">
        <v>663</v>
      </c>
      <c r="C196" s="87" t="s">
        <v>431</v>
      </c>
      <c r="D196" s="88" t="s">
        <v>705</v>
      </c>
      <c r="E196" s="89" t="s">
        <v>21</v>
      </c>
      <c r="F196" s="89">
        <v>1</v>
      </c>
      <c r="G196" s="90">
        <v>4</v>
      </c>
      <c r="H196" s="90">
        <v>2</v>
      </c>
      <c r="I196" s="90">
        <v>2</v>
      </c>
      <c r="J196" s="90">
        <v>0</v>
      </c>
      <c r="K196" s="90">
        <v>2</v>
      </c>
      <c r="L196" s="91">
        <v>2</v>
      </c>
      <c r="M196" s="92">
        <v>0.5</v>
      </c>
      <c r="N196" s="92">
        <v>0</v>
      </c>
      <c r="O196" s="90">
        <v>0</v>
      </c>
      <c r="P196" s="93">
        <v>120</v>
      </c>
    </row>
    <row r="197" spans="2:16" x14ac:dyDescent="0.3">
      <c r="B197" s="86" t="s">
        <v>618</v>
      </c>
      <c r="C197" s="87" t="s">
        <v>27</v>
      </c>
      <c r="D197" s="88" t="s">
        <v>351</v>
      </c>
      <c r="E197" s="89" t="s">
        <v>21</v>
      </c>
      <c r="F197" s="89">
        <v>1</v>
      </c>
      <c r="G197" s="90">
        <v>4</v>
      </c>
      <c r="H197" s="90">
        <v>2</v>
      </c>
      <c r="I197" s="90">
        <v>0</v>
      </c>
      <c r="J197" s="90">
        <v>0</v>
      </c>
      <c r="K197" s="90">
        <v>4</v>
      </c>
      <c r="L197" s="91">
        <v>2</v>
      </c>
      <c r="M197" s="92">
        <v>0</v>
      </c>
      <c r="N197" s="92">
        <v>0</v>
      </c>
      <c r="O197" s="90">
        <v>0</v>
      </c>
      <c r="P197" s="93">
        <v>160</v>
      </c>
    </row>
    <row r="198" spans="2:16" x14ac:dyDescent="0.3">
      <c r="B198" s="86" t="s">
        <v>661</v>
      </c>
      <c r="C198" s="87" t="s">
        <v>34</v>
      </c>
      <c r="D198" s="88" t="s">
        <v>371</v>
      </c>
      <c r="E198" s="89" t="s">
        <v>21</v>
      </c>
      <c r="F198" s="89">
        <v>1</v>
      </c>
      <c r="G198" s="90">
        <v>4</v>
      </c>
      <c r="H198" s="90">
        <v>2</v>
      </c>
      <c r="I198" s="90">
        <v>0</v>
      </c>
      <c r="J198" s="90">
        <v>0</v>
      </c>
      <c r="K198" s="90">
        <v>4</v>
      </c>
      <c r="L198" s="91">
        <v>2</v>
      </c>
      <c r="M198" s="92">
        <v>0</v>
      </c>
      <c r="N198" s="92">
        <v>0</v>
      </c>
      <c r="O198" s="90">
        <v>0</v>
      </c>
      <c r="P198" s="93">
        <v>160</v>
      </c>
    </row>
    <row r="199" spans="2:16" x14ac:dyDescent="0.3">
      <c r="B199" s="86" t="s">
        <v>647</v>
      </c>
      <c r="C199" s="87" t="s">
        <v>34</v>
      </c>
      <c r="D199" s="88" t="s">
        <v>347</v>
      </c>
      <c r="E199" s="89" t="s">
        <v>21</v>
      </c>
      <c r="F199" s="89">
        <v>1</v>
      </c>
      <c r="G199" s="90">
        <v>4</v>
      </c>
      <c r="H199" s="90">
        <v>2</v>
      </c>
      <c r="I199" s="90">
        <v>2</v>
      </c>
      <c r="J199" s="90">
        <v>2</v>
      </c>
      <c r="K199" s="90">
        <v>2</v>
      </c>
      <c r="L199" s="91">
        <v>0</v>
      </c>
      <c r="M199" s="92">
        <v>0.5</v>
      </c>
      <c r="N199" s="92">
        <v>1</v>
      </c>
      <c r="O199" s="90">
        <v>0</v>
      </c>
      <c r="P199" s="93">
        <v>40</v>
      </c>
    </row>
    <row r="200" spans="2:16" x14ac:dyDescent="0.3">
      <c r="B200" s="86" t="s">
        <v>656</v>
      </c>
      <c r="C200" s="87" t="s">
        <v>34</v>
      </c>
      <c r="D200" s="88" t="s">
        <v>407</v>
      </c>
      <c r="E200" s="89" t="s">
        <v>21</v>
      </c>
      <c r="F200" s="89">
        <v>1</v>
      </c>
      <c r="G200" s="90">
        <v>4</v>
      </c>
      <c r="H200" s="90">
        <v>2</v>
      </c>
      <c r="I200" s="90">
        <v>2</v>
      </c>
      <c r="J200" s="90">
        <v>2</v>
      </c>
      <c r="K200" s="90">
        <v>2</v>
      </c>
      <c r="L200" s="91">
        <v>0</v>
      </c>
      <c r="M200" s="92">
        <v>0.5</v>
      </c>
      <c r="N200" s="92">
        <v>1</v>
      </c>
      <c r="O200" s="90">
        <v>0</v>
      </c>
      <c r="P200" s="93">
        <v>40</v>
      </c>
    </row>
    <row r="201" spans="2:16" x14ac:dyDescent="0.3">
      <c r="B201" s="86" t="s">
        <v>664</v>
      </c>
      <c r="C201" s="87" t="s">
        <v>27</v>
      </c>
      <c r="D201" s="88" t="s">
        <v>383</v>
      </c>
      <c r="E201" s="89" t="s">
        <v>21</v>
      </c>
      <c r="F201" s="89">
        <v>1</v>
      </c>
      <c r="G201" s="90">
        <v>4</v>
      </c>
      <c r="H201" s="90">
        <v>2</v>
      </c>
      <c r="I201" s="90">
        <v>0</v>
      </c>
      <c r="J201" s="90">
        <v>0</v>
      </c>
      <c r="K201" s="90">
        <v>4</v>
      </c>
      <c r="L201" s="91">
        <v>2</v>
      </c>
      <c r="M201" s="92">
        <v>0</v>
      </c>
      <c r="N201" s="92">
        <v>0</v>
      </c>
      <c r="O201" s="90">
        <v>0</v>
      </c>
      <c r="P201" s="93">
        <v>160</v>
      </c>
    </row>
    <row r="202" spans="2:16" x14ac:dyDescent="0.3">
      <c r="B202" s="86" t="s">
        <v>553</v>
      </c>
      <c r="C202" s="87" t="s">
        <v>111</v>
      </c>
      <c r="D202" s="88" t="s">
        <v>405</v>
      </c>
      <c r="E202" s="89" t="s">
        <v>21</v>
      </c>
      <c r="F202" s="89">
        <v>1</v>
      </c>
      <c r="G202" s="90">
        <v>4</v>
      </c>
      <c r="H202" s="90">
        <v>2</v>
      </c>
      <c r="I202" s="90">
        <v>0</v>
      </c>
      <c r="J202" s="90">
        <v>0</v>
      </c>
      <c r="K202" s="90">
        <v>4</v>
      </c>
      <c r="L202" s="91">
        <v>2</v>
      </c>
      <c r="M202" s="92">
        <v>0</v>
      </c>
      <c r="N202" s="92">
        <v>0</v>
      </c>
      <c r="O202" s="90">
        <v>0</v>
      </c>
      <c r="P202" s="93">
        <v>160</v>
      </c>
    </row>
    <row r="203" spans="2:16" x14ac:dyDescent="0.3">
      <c r="B203" s="86" t="s">
        <v>615</v>
      </c>
      <c r="C203" s="87" t="s">
        <v>24</v>
      </c>
      <c r="D203" s="88" t="s">
        <v>385</v>
      </c>
      <c r="E203" s="89" t="s">
        <v>21</v>
      </c>
      <c r="F203" s="89">
        <v>1</v>
      </c>
      <c r="G203" s="90">
        <v>4</v>
      </c>
      <c r="H203" s="90">
        <v>2</v>
      </c>
      <c r="I203" s="90">
        <v>0</v>
      </c>
      <c r="J203" s="90">
        <v>0</v>
      </c>
      <c r="K203" s="90">
        <v>4</v>
      </c>
      <c r="L203" s="91">
        <v>2</v>
      </c>
      <c r="M203" s="92">
        <v>0</v>
      </c>
      <c r="N203" s="92">
        <v>0</v>
      </c>
      <c r="O203" s="90">
        <v>0</v>
      </c>
      <c r="P203" s="93">
        <v>160</v>
      </c>
    </row>
    <row r="204" spans="2:16" x14ac:dyDescent="0.3">
      <c r="B204" s="86" t="s">
        <v>665</v>
      </c>
      <c r="C204" s="87" t="s">
        <v>24</v>
      </c>
      <c r="D204" s="88" t="s">
        <v>706</v>
      </c>
      <c r="E204" s="89" t="s">
        <v>21</v>
      </c>
      <c r="F204" s="89">
        <v>1</v>
      </c>
      <c r="G204" s="90">
        <v>4</v>
      </c>
      <c r="H204" s="90">
        <v>2</v>
      </c>
      <c r="I204" s="90">
        <v>0</v>
      </c>
      <c r="J204" s="90">
        <v>0</v>
      </c>
      <c r="K204" s="90">
        <v>4</v>
      </c>
      <c r="L204" s="91">
        <v>2</v>
      </c>
      <c r="M204" s="92">
        <v>0</v>
      </c>
      <c r="N204" s="92">
        <v>0</v>
      </c>
      <c r="O204" s="90">
        <v>0</v>
      </c>
      <c r="P204" s="93">
        <v>160</v>
      </c>
    </row>
    <row r="205" spans="2:16" x14ac:dyDescent="0.3">
      <c r="B205" s="86" t="s">
        <v>576</v>
      </c>
      <c r="C205" s="87" t="s">
        <v>24</v>
      </c>
      <c r="D205" s="88" t="s">
        <v>403</v>
      </c>
      <c r="E205" s="89" t="s">
        <v>21</v>
      </c>
      <c r="F205" s="89">
        <v>2</v>
      </c>
      <c r="G205" s="90">
        <v>8</v>
      </c>
      <c r="H205" s="90">
        <v>4</v>
      </c>
      <c r="I205" s="90">
        <v>1</v>
      </c>
      <c r="J205" s="90">
        <v>0</v>
      </c>
      <c r="K205" s="90">
        <v>7</v>
      </c>
      <c r="L205" s="91">
        <v>4</v>
      </c>
      <c r="M205" s="92">
        <v>0.125</v>
      </c>
      <c r="N205" s="92">
        <v>0</v>
      </c>
      <c r="O205" s="90">
        <v>0</v>
      </c>
      <c r="P205" s="93">
        <v>300</v>
      </c>
    </row>
    <row r="206" spans="2:16" x14ac:dyDescent="0.3">
      <c r="B206" s="86" t="s">
        <v>609</v>
      </c>
      <c r="C206" s="87" t="s">
        <v>24</v>
      </c>
      <c r="D206" s="88" t="s">
        <v>387</v>
      </c>
      <c r="E206" s="89" t="s">
        <v>21</v>
      </c>
      <c r="F206" s="89">
        <v>1</v>
      </c>
      <c r="G206" s="90">
        <v>4</v>
      </c>
      <c r="H206" s="90">
        <v>2</v>
      </c>
      <c r="I206" s="90">
        <v>0</v>
      </c>
      <c r="J206" s="90">
        <v>0</v>
      </c>
      <c r="K206" s="90">
        <v>4</v>
      </c>
      <c r="L206" s="91">
        <v>2</v>
      </c>
      <c r="M206" s="92">
        <v>0</v>
      </c>
      <c r="N206" s="92">
        <v>0</v>
      </c>
      <c r="O206" s="90">
        <v>0</v>
      </c>
      <c r="P206" s="93">
        <v>160</v>
      </c>
    </row>
    <row r="207" spans="2:16" x14ac:dyDescent="0.3">
      <c r="B207" s="86" t="s">
        <v>652</v>
      </c>
      <c r="C207" s="87" t="s">
        <v>24</v>
      </c>
      <c r="D207" s="88" t="s">
        <v>401</v>
      </c>
      <c r="E207" s="89" t="s">
        <v>21</v>
      </c>
      <c r="F207" s="89">
        <v>1</v>
      </c>
      <c r="G207" s="90">
        <v>4</v>
      </c>
      <c r="H207" s="90">
        <v>2</v>
      </c>
      <c r="I207" s="90">
        <v>1</v>
      </c>
      <c r="J207" s="90">
        <v>0</v>
      </c>
      <c r="K207" s="90">
        <v>3</v>
      </c>
      <c r="L207" s="91">
        <v>2</v>
      </c>
      <c r="M207" s="92">
        <v>0.25</v>
      </c>
      <c r="N207" s="92">
        <v>0</v>
      </c>
      <c r="O207" s="90">
        <v>0</v>
      </c>
      <c r="P207" s="93">
        <v>140</v>
      </c>
    </row>
    <row r="208" spans="2:16" x14ac:dyDescent="0.3">
      <c r="B208" s="86" t="s">
        <v>654</v>
      </c>
      <c r="C208" s="87" t="s">
        <v>198</v>
      </c>
      <c r="D208" s="88" t="s">
        <v>397</v>
      </c>
      <c r="E208" s="89" t="s">
        <v>21</v>
      </c>
      <c r="F208" s="89">
        <v>1</v>
      </c>
      <c r="G208" s="90">
        <v>4</v>
      </c>
      <c r="H208" s="90">
        <v>2</v>
      </c>
      <c r="I208" s="90">
        <v>0</v>
      </c>
      <c r="J208" s="90">
        <v>0</v>
      </c>
      <c r="K208" s="90">
        <v>4</v>
      </c>
      <c r="L208" s="91">
        <v>2</v>
      </c>
      <c r="M208" s="92">
        <v>0</v>
      </c>
      <c r="N208" s="92">
        <v>0</v>
      </c>
      <c r="O208" s="90">
        <v>0</v>
      </c>
      <c r="P208" s="93">
        <v>160</v>
      </c>
    </row>
    <row r="209" spans="2:16" x14ac:dyDescent="0.3">
      <c r="B209" s="86" t="s">
        <v>633</v>
      </c>
      <c r="C209" s="87" t="s">
        <v>56</v>
      </c>
      <c r="D209" s="88" t="s">
        <v>409</v>
      </c>
      <c r="E209" s="89" t="s">
        <v>21</v>
      </c>
      <c r="F209" s="89">
        <v>1</v>
      </c>
      <c r="G209" s="90">
        <v>4</v>
      </c>
      <c r="H209" s="90">
        <v>2</v>
      </c>
      <c r="I209" s="90">
        <v>0</v>
      </c>
      <c r="J209" s="90">
        <v>0</v>
      </c>
      <c r="K209" s="90">
        <v>4</v>
      </c>
      <c r="L209" s="91">
        <v>2</v>
      </c>
      <c r="M209" s="92">
        <v>0</v>
      </c>
      <c r="N209" s="92">
        <v>0</v>
      </c>
      <c r="O209" s="90">
        <v>0</v>
      </c>
      <c r="P209" s="93">
        <v>160</v>
      </c>
    </row>
    <row r="210" spans="2:16" x14ac:dyDescent="0.3">
      <c r="B210" s="86" t="s">
        <v>605</v>
      </c>
      <c r="C210" s="87" t="s">
        <v>56</v>
      </c>
      <c r="D210" s="88" t="s">
        <v>707</v>
      </c>
      <c r="E210" s="89" t="s">
        <v>21</v>
      </c>
      <c r="F210" s="89">
        <v>1</v>
      </c>
      <c r="G210" s="90">
        <v>4</v>
      </c>
      <c r="H210" s="90">
        <v>2</v>
      </c>
      <c r="I210" s="90">
        <v>0</v>
      </c>
      <c r="J210" s="90">
        <v>0</v>
      </c>
      <c r="K210" s="90">
        <v>4</v>
      </c>
      <c r="L210" s="91">
        <v>2</v>
      </c>
      <c r="M210" s="92">
        <v>0</v>
      </c>
      <c r="N210" s="92">
        <v>0</v>
      </c>
      <c r="O210" s="90">
        <v>0</v>
      </c>
      <c r="P210" s="93">
        <v>160</v>
      </c>
    </row>
    <row r="211" spans="2:16" x14ac:dyDescent="0.3">
      <c r="B211" s="86" t="s">
        <v>23</v>
      </c>
      <c r="C211" s="87" t="s">
        <v>24</v>
      </c>
      <c r="D211" s="88" t="s">
        <v>393</v>
      </c>
      <c r="E211" s="89" t="s">
        <v>21</v>
      </c>
      <c r="F211" s="89">
        <v>1</v>
      </c>
      <c r="G211" s="90">
        <v>4</v>
      </c>
      <c r="H211" s="90">
        <v>2</v>
      </c>
      <c r="I211" s="90">
        <v>3</v>
      </c>
      <c r="J211" s="90">
        <v>0</v>
      </c>
      <c r="K211" s="90">
        <v>1</v>
      </c>
      <c r="L211" s="91">
        <v>2</v>
      </c>
      <c r="M211" s="92">
        <v>0.75</v>
      </c>
      <c r="N211" s="92">
        <v>0</v>
      </c>
      <c r="O211" s="90">
        <v>0</v>
      </c>
      <c r="P211" s="93">
        <v>100</v>
      </c>
    </row>
    <row r="212" spans="2:16" x14ac:dyDescent="0.3">
      <c r="B212" s="86" t="s">
        <v>667</v>
      </c>
      <c r="C212" s="87" t="s">
        <v>27</v>
      </c>
      <c r="D212" s="88" t="s">
        <v>415</v>
      </c>
      <c r="E212" s="89" t="s">
        <v>28</v>
      </c>
      <c r="F212" s="89">
        <v>2</v>
      </c>
      <c r="G212" s="90">
        <v>16</v>
      </c>
      <c r="H212" s="90">
        <v>16</v>
      </c>
      <c r="I212" s="90">
        <v>23</v>
      </c>
      <c r="J212" s="90">
        <v>9</v>
      </c>
      <c r="K212" s="90">
        <v>-7</v>
      </c>
      <c r="L212" s="91">
        <v>7</v>
      </c>
      <c r="M212" s="92">
        <v>1.4375</v>
      </c>
      <c r="N212" s="92">
        <v>0.5625</v>
      </c>
      <c r="O212" s="90">
        <v>728</v>
      </c>
      <c r="P212" s="93">
        <v>140</v>
      </c>
    </row>
    <row r="213" spans="2:16" x14ac:dyDescent="0.3">
      <c r="B213" s="86" t="s">
        <v>570</v>
      </c>
      <c r="C213" s="87" t="s">
        <v>27</v>
      </c>
      <c r="D213" s="88" t="s">
        <v>411</v>
      </c>
      <c r="E213" s="89" t="s">
        <v>28</v>
      </c>
      <c r="F213" s="89">
        <v>2</v>
      </c>
      <c r="G213" s="90">
        <v>16</v>
      </c>
      <c r="H213" s="90">
        <v>16</v>
      </c>
      <c r="I213" s="90">
        <v>3</v>
      </c>
      <c r="J213" s="90">
        <v>0</v>
      </c>
      <c r="K213" s="90">
        <v>13</v>
      </c>
      <c r="L213" s="91">
        <v>16</v>
      </c>
      <c r="M213" s="92">
        <v>0.1875</v>
      </c>
      <c r="N213" s="92">
        <v>0</v>
      </c>
      <c r="O213" s="90">
        <v>0</v>
      </c>
      <c r="P213" s="93">
        <v>900</v>
      </c>
    </row>
    <row r="214" spans="2:16" x14ac:dyDescent="0.3">
      <c r="B214" s="86" t="s">
        <v>518</v>
      </c>
      <c r="C214" s="87" t="s">
        <v>24</v>
      </c>
      <c r="D214" s="88" t="s">
        <v>708</v>
      </c>
      <c r="E214" s="89" t="s">
        <v>28</v>
      </c>
      <c r="F214" s="89">
        <v>2</v>
      </c>
      <c r="G214" s="90">
        <v>16</v>
      </c>
      <c r="H214" s="90">
        <v>16</v>
      </c>
      <c r="I214" s="90">
        <v>10</v>
      </c>
      <c r="J214" s="90">
        <v>12</v>
      </c>
      <c r="K214" s="90">
        <v>6</v>
      </c>
      <c r="L214" s="91">
        <v>4</v>
      </c>
      <c r="M214" s="92">
        <v>0.625</v>
      </c>
      <c r="N214" s="92">
        <v>0.75</v>
      </c>
      <c r="O214" s="90">
        <v>480</v>
      </c>
      <c r="P214" s="93">
        <v>280</v>
      </c>
    </row>
    <row r="215" spans="2:16" x14ac:dyDescent="0.3">
      <c r="B215" s="86" t="s">
        <v>284</v>
      </c>
      <c r="C215" s="87" t="s">
        <v>24</v>
      </c>
      <c r="D215" s="88" t="s">
        <v>389</v>
      </c>
      <c r="E215" s="89" t="s">
        <v>21</v>
      </c>
      <c r="F215" s="89">
        <v>1</v>
      </c>
      <c r="G215" s="90">
        <v>4</v>
      </c>
      <c r="H215" s="90">
        <v>2</v>
      </c>
      <c r="I215" s="90">
        <v>2</v>
      </c>
      <c r="J215" s="90">
        <v>2</v>
      </c>
      <c r="K215" s="90">
        <v>2</v>
      </c>
      <c r="L215" s="91">
        <v>0</v>
      </c>
      <c r="M215" s="92">
        <v>0.5</v>
      </c>
      <c r="N215" s="92">
        <v>1</v>
      </c>
      <c r="O215" s="90">
        <v>80</v>
      </c>
      <c r="P215" s="93">
        <v>40</v>
      </c>
    </row>
    <row r="216" spans="2:16" x14ac:dyDescent="0.3">
      <c r="B216" s="86" t="s">
        <v>659</v>
      </c>
      <c r="C216" s="87" t="s">
        <v>159</v>
      </c>
      <c r="D216" s="88" t="s">
        <v>395</v>
      </c>
      <c r="E216" s="89" t="s">
        <v>21</v>
      </c>
      <c r="F216" s="89">
        <v>1</v>
      </c>
      <c r="G216" s="90">
        <v>4</v>
      </c>
      <c r="H216" s="90">
        <v>2</v>
      </c>
      <c r="I216" s="90">
        <v>0</v>
      </c>
      <c r="J216" s="90">
        <v>0</v>
      </c>
      <c r="K216" s="90">
        <v>4</v>
      </c>
      <c r="L216" s="91">
        <v>2</v>
      </c>
      <c r="M216" s="92">
        <v>0</v>
      </c>
      <c r="N216" s="92">
        <v>0</v>
      </c>
      <c r="O216" s="90">
        <v>0</v>
      </c>
      <c r="P216" s="93">
        <v>160</v>
      </c>
    </row>
    <row r="217" spans="2:16" x14ac:dyDescent="0.3">
      <c r="B217" s="86" t="s">
        <v>650</v>
      </c>
      <c r="C217" s="87" t="s">
        <v>198</v>
      </c>
      <c r="D217" s="88" t="s">
        <v>419</v>
      </c>
      <c r="E217" s="89" t="s">
        <v>21</v>
      </c>
      <c r="F217" s="89">
        <v>1</v>
      </c>
      <c r="G217" s="90">
        <v>4</v>
      </c>
      <c r="H217" s="90">
        <v>2</v>
      </c>
      <c r="I217" s="90">
        <v>0</v>
      </c>
      <c r="J217" s="90">
        <v>0</v>
      </c>
      <c r="K217" s="90">
        <v>4</v>
      </c>
      <c r="L217" s="91">
        <v>2</v>
      </c>
      <c r="M217" s="92">
        <v>0</v>
      </c>
      <c r="N217" s="92">
        <v>0</v>
      </c>
      <c r="O217" s="90">
        <v>0</v>
      </c>
      <c r="P217" s="93">
        <v>160</v>
      </c>
    </row>
    <row r="218" spans="2:16" x14ac:dyDescent="0.3">
      <c r="B218" s="86" t="s">
        <v>666</v>
      </c>
      <c r="C218" s="87" t="s">
        <v>159</v>
      </c>
      <c r="D218" s="88" t="s">
        <v>709</v>
      </c>
      <c r="E218" s="89" t="s">
        <v>21</v>
      </c>
      <c r="F218" s="89">
        <v>1</v>
      </c>
      <c r="G218" s="90">
        <v>4</v>
      </c>
      <c r="H218" s="90">
        <v>2</v>
      </c>
      <c r="I218" s="90">
        <v>0</v>
      </c>
      <c r="J218" s="90">
        <v>0</v>
      </c>
      <c r="K218" s="90">
        <v>4</v>
      </c>
      <c r="L218" s="91">
        <v>2</v>
      </c>
      <c r="M218" s="92">
        <v>0</v>
      </c>
      <c r="N218" s="92">
        <v>0</v>
      </c>
      <c r="O218" s="90">
        <v>0</v>
      </c>
      <c r="P218" s="93">
        <v>160</v>
      </c>
    </row>
    <row r="219" spans="2:16" x14ac:dyDescent="0.3">
      <c r="B219" s="86" t="s">
        <v>623</v>
      </c>
      <c r="C219" s="87" t="s">
        <v>159</v>
      </c>
      <c r="D219" s="88" t="s">
        <v>417</v>
      </c>
      <c r="E219" s="89" t="s">
        <v>21</v>
      </c>
      <c r="F219" s="89">
        <v>1</v>
      </c>
      <c r="G219" s="90">
        <v>4</v>
      </c>
      <c r="H219" s="90">
        <v>2</v>
      </c>
      <c r="I219" s="90">
        <v>0</v>
      </c>
      <c r="J219" s="90">
        <v>0</v>
      </c>
      <c r="K219" s="90">
        <v>4</v>
      </c>
      <c r="L219" s="91">
        <v>2</v>
      </c>
      <c r="M219" s="92">
        <v>0</v>
      </c>
      <c r="N219" s="92">
        <v>0</v>
      </c>
      <c r="O219" s="90">
        <v>0</v>
      </c>
      <c r="P219" s="93">
        <v>160</v>
      </c>
    </row>
    <row r="220" spans="2:16" x14ac:dyDescent="0.3">
      <c r="B220" s="86" t="s">
        <v>591</v>
      </c>
      <c r="C220" s="87" t="s">
        <v>159</v>
      </c>
      <c r="D220" s="88" t="s">
        <v>421</v>
      </c>
      <c r="E220" s="89" t="s">
        <v>21</v>
      </c>
      <c r="F220" s="89">
        <v>1</v>
      </c>
      <c r="G220" s="90">
        <v>4</v>
      </c>
      <c r="H220" s="90">
        <v>2</v>
      </c>
      <c r="I220" s="90">
        <v>0</v>
      </c>
      <c r="J220" s="90">
        <v>0</v>
      </c>
      <c r="K220" s="90">
        <v>4</v>
      </c>
      <c r="L220" s="91">
        <v>2</v>
      </c>
      <c r="M220" s="92">
        <v>0</v>
      </c>
      <c r="N220" s="92">
        <v>0</v>
      </c>
      <c r="O220" s="90">
        <v>0</v>
      </c>
      <c r="P220" s="93">
        <v>160</v>
      </c>
    </row>
    <row r="221" spans="2:16" x14ac:dyDescent="0.3">
      <c r="B221" s="86" t="s">
        <v>642</v>
      </c>
      <c r="C221" s="87" t="s">
        <v>159</v>
      </c>
      <c r="D221" s="88" t="s">
        <v>423</v>
      </c>
      <c r="E221" s="89" t="s">
        <v>21</v>
      </c>
      <c r="F221" s="89">
        <v>1</v>
      </c>
      <c r="G221" s="90">
        <v>4</v>
      </c>
      <c r="H221" s="90">
        <v>2</v>
      </c>
      <c r="I221" s="90">
        <v>0</v>
      </c>
      <c r="J221" s="90">
        <v>0</v>
      </c>
      <c r="K221" s="90">
        <v>4</v>
      </c>
      <c r="L221" s="91">
        <v>2</v>
      </c>
      <c r="M221" s="92">
        <v>0</v>
      </c>
      <c r="N221" s="92">
        <v>0</v>
      </c>
      <c r="O221" s="90">
        <v>0</v>
      </c>
      <c r="P221" s="93">
        <v>160</v>
      </c>
    </row>
    <row r="222" spans="2:16" x14ac:dyDescent="0.3">
      <c r="B222" s="86" t="s">
        <v>643</v>
      </c>
      <c r="C222" s="87" t="s">
        <v>31</v>
      </c>
      <c r="D222" s="88" t="s">
        <v>710</v>
      </c>
      <c r="E222" s="89" t="s">
        <v>21</v>
      </c>
      <c r="F222" s="89">
        <v>1</v>
      </c>
      <c r="G222" s="90">
        <v>4</v>
      </c>
      <c r="H222" s="90">
        <v>2</v>
      </c>
      <c r="I222" s="90">
        <v>0</v>
      </c>
      <c r="J222" s="90">
        <v>0</v>
      </c>
      <c r="K222" s="90">
        <v>4</v>
      </c>
      <c r="L222" s="91">
        <v>2</v>
      </c>
      <c r="M222" s="92">
        <v>0</v>
      </c>
      <c r="N222" s="92">
        <v>0</v>
      </c>
      <c r="O222" s="90">
        <v>0</v>
      </c>
      <c r="P222" s="93">
        <v>160</v>
      </c>
    </row>
    <row r="223" spans="2:16" x14ac:dyDescent="0.3">
      <c r="B223" s="86" t="s">
        <v>668</v>
      </c>
      <c r="C223" s="87" t="s">
        <v>24</v>
      </c>
      <c r="D223" s="88" t="s">
        <v>711</v>
      </c>
      <c r="E223" s="89" t="s">
        <v>28</v>
      </c>
      <c r="F223" s="89">
        <v>1</v>
      </c>
      <c r="G223" s="90">
        <v>8</v>
      </c>
      <c r="H223" s="90">
        <v>8</v>
      </c>
      <c r="I223" s="90">
        <v>1</v>
      </c>
      <c r="J223" s="90">
        <v>3</v>
      </c>
      <c r="K223" s="90">
        <v>7</v>
      </c>
      <c r="L223" s="91">
        <v>5</v>
      </c>
      <c r="M223" s="92">
        <v>0.125</v>
      </c>
      <c r="N223" s="92">
        <v>0.375</v>
      </c>
      <c r="O223" s="90">
        <v>125</v>
      </c>
      <c r="P223" s="93">
        <v>340</v>
      </c>
    </row>
    <row r="224" spans="2:16" x14ac:dyDescent="0.3">
      <c r="B224" s="86" t="s">
        <v>453</v>
      </c>
      <c r="C224" s="87" t="s">
        <v>24</v>
      </c>
      <c r="D224" s="88" t="s">
        <v>712</v>
      </c>
      <c r="E224" s="89" t="s">
        <v>28</v>
      </c>
      <c r="F224" s="89">
        <v>1</v>
      </c>
      <c r="G224" s="90">
        <v>8</v>
      </c>
      <c r="H224" s="90">
        <v>8</v>
      </c>
      <c r="I224" s="90">
        <v>0</v>
      </c>
      <c r="J224" s="90">
        <v>0</v>
      </c>
      <c r="K224" s="90">
        <v>8</v>
      </c>
      <c r="L224" s="91">
        <v>8</v>
      </c>
      <c r="M224" s="92">
        <v>0</v>
      </c>
      <c r="N224" s="92">
        <v>0</v>
      </c>
      <c r="O224" s="90">
        <v>0</v>
      </c>
      <c r="P224" s="93">
        <v>480</v>
      </c>
    </row>
    <row r="225" spans="2:16" x14ac:dyDescent="0.3">
      <c r="B225" s="86" t="s">
        <v>452</v>
      </c>
      <c r="C225" s="87" t="s">
        <v>31</v>
      </c>
      <c r="D225" s="88" t="s">
        <v>713</v>
      </c>
      <c r="E225" s="89" t="s">
        <v>28</v>
      </c>
      <c r="F225" s="89">
        <v>1</v>
      </c>
      <c r="G225" s="90">
        <v>8</v>
      </c>
      <c r="H225" s="90">
        <v>8</v>
      </c>
      <c r="I225" s="90">
        <v>0</v>
      </c>
      <c r="J225" s="90">
        <v>0</v>
      </c>
      <c r="K225" s="90">
        <v>8</v>
      </c>
      <c r="L225" s="91">
        <v>8</v>
      </c>
      <c r="M225" s="92">
        <v>0</v>
      </c>
      <c r="N225" s="92">
        <v>0</v>
      </c>
      <c r="O225" s="90">
        <v>0</v>
      </c>
      <c r="P225" s="93">
        <v>480</v>
      </c>
    </row>
    <row r="226" spans="2:16" x14ac:dyDescent="0.3">
      <c r="B226" s="86" t="s">
        <v>669</v>
      </c>
      <c r="C226" s="87" t="s">
        <v>63</v>
      </c>
      <c r="D226" s="88" t="s">
        <v>714</v>
      </c>
      <c r="E226" s="89" t="s">
        <v>21</v>
      </c>
      <c r="F226" s="89">
        <v>1</v>
      </c>
      <c r="G226" s="90">
        <v>4</v>
      </c>
      <c r="H226" s="90">
        <v>2</v>
      </c>
      <c r="I226" s="90">
        <v>0</v>
      </c>
      <c r="J226" s="90">
        <v>0</v>
      </c>
      <c r="K226" s="90">
        <v>4</v>
      </c>
      <c r="L226" s="91">
        <v>2</v>
      </c>
      <c r="M226" s="92">
        <v>0</v>
      </c>
      <c r="N226" s="92">
        <v>0</v>
      </c>
      <c r="O226" s="90">
        <v>0</v>
      </c>
      <c r="P226" s="93">
        <v>160</v>
      </c>
    </row>
    <row r="227" spans="2:16" x14ac:dyDescent="0.3">
      <c r="B227" s="86" t="s">
        <v>670</v>
      </c>
      <c r="C227" s="87" t="s">
        <v>31</v>
      </c>
      <c r="D227" s="88" t="s">
        <v>715</v>
      </c>
      <c r="E227" s="89" t="s">
        <v>21</v>
      </c>
      <c r="F227" s="89">
        <v>1</v>
      </c>
      <c r="G227" s="90">
        <v>4</v>
      </c>
      <c r="H227" s="90">
        <v>2</v>
      </c>
      <c r="I227" s="90">
        <v>0</v>
      </c>
      <c r="J227" s="90">
        <v>0</v>
      </c>
      <c r="K227" s="90">
        <v>4</v>
      </c>
      <c r="L227" s="91">
        <v>2</v>
      </c>
      <c r="M227" s="92">
        <v>0</v>
      </c>
      <c r="N227" s="92">
        <v>0</v>
      </c>
      <c r="O227" s="90">
        <v>0</v>
      </c>
      <c r="P227" s="93">
        <v>160</v>
      </c>
    </row>
    <row r="228" spans="2:16" x14ac:dyDescent="0.3">
      <c r="B228" s="86" t="s">
        <v>671</v>
      </c>
      <c r="C228" s="87" t="s">
        <v>31</v>
      </c>
      <c r="D228" s="88" t="s">
        <v>716</v>
      </c>
      <c r="E228" s="89" t="s">
        <v>28</v>
      </c>
      <c r="F228" s="89">
        <v>1</v>
      </c>
      <c r="G228" s="90">
        <v>8</v>
      </c>
      <c r="H228" s="90">
        <v>8</v>
      </c>
      <c r="I228" s="90">
        <v>3</v>
      </c>
      <c r="J228" s="90">
        <v>0</v>
      </c>
      <c r="K228" s="90">
        <v>5</v>
      </c>
      <c r="L228" s="91">
        <v>8</v>
      </c>
      <c r="M228" s="92">
        <v>0.375</v>
      </c>
      <c r="N228" s="92">
        <v>0</v>
      </c>
      <c r="O228" s="90">
        <v>0</v>
      </c>
      <c r="P228" s="93">
        <v>420</v>
      </c>
    </row>
    <row r="229" spans="2:16" x14ac:dyDescent="0.3">
      <c r="B229" s="86" t="s">
        <v>458</v>
      </c>
      <c r="C229" s="87" t="s">
        <v>63</v>
      </c>
      <c r="D229" s="88" t="s">
        <v>717</v>
      </c>
      <c r="E229" s="89" t="s">
        <v>28</v>
      </c>
      <c r="F229" s="89">
        <v>1</v>
      </c>
      <c r="G229" s="90">
        <v>8</v>
      </c>
      <c r="H229" s="90">
        <v>8</v>
      </c>
      <c r="I229" s="90">
        <v>0</v>
      </c>
      <c r="J229" s="90">
        <v>0</v>
      </c>
      <c r="K229" s="90">
        <v>8</v>
      </c>
      <c r="L229" s="91">
        <v>8</v>
      </c>
      <c r="M229" s="92">
        <v>0</v>
      </c>
      <c r="N229" s="92">
        <v>0</v>
      </c>
      <c r="O229" s="90">
        <v>0</v>
      </c>
      <c r="P229" s="93">
        <v>480</v>
      </c>
    </row>
    <row r="230" spans="2:16" x14ac:dyDescent="0.3">
      <c r="B230" s="86" t="s">
        <v>464</v>
      </c>
      <c r="C230" s="87" t="s">
        <v>63</v>
      </c>
      <c r="D230" s="88" t="s">
        <v>718</v>
      </c>
      <c r="E230" s="89" t="s">
        <v>21</v>
      </c>
      <c r="F230" s="89">
        <v>1</v>
      </c>
      <c r="G230" s="90">
        <v>4</v>
      </c>
      <c r="H230" s="90">
        <v>2</v>
      </c>
      <c r="I230" s="90">
        <v>0</v>
      </c>
      <c r="J230" s="90">
        <v>0</v>
      </c>
      <c r="K230" s="90">
        <v>4</v>
      </c>
      <c r="L230" s="91">
        <v>2</v>
      </c>
      <c r="M230" s="92">
        <v>0</v>
      </c>
      <c r="N230" s="92">
        <v>0</v>
      </c>
      <c r="O230" s="90">
        <v>0</v>
      </c>
      <c r="P230" s="93">
        <v>160</v>
      </c>
    </row>
    <row r="231" spans="2:16" x14ac:dyDescent="0.3">
      <c r="B231" s="86" t="s">
        <v>468</v>
      </c>
      <c r="C231" s="87" t="s">
        <v>63</v>
      </c>
      <c r="D231" s="88" t="s">
        <v>719</v>
      </c>
      <c r="E231" s="89" t="s">
        <v>21</v>
      </c>
      <c r="F231" s="89">
        <v>1</v>
      </c>
      <c r="G231" s="90">
        <v>4</v>
      </c>
      <c r="H231" s="90">
        <v>2</v>
      </c>
      <c r="I231" s="90">
        <v>0</v>
      </c>
      <c r="J231" s="90">
        <v>0</v>
      </c>
      <c r="K231" s="90">
        <v>4</v>
      </c>
      <c r="L231" s="91">
        <v>2</v>
      </c>
      <c r="M231" s="92">
        <v>0</v>
      </c>
      <c r="N231" s="92">
        <v>0</v>
      </c>
      <c r="O231" s="90">
        <v>0</v>
      </c>
      <c r="P231" s="93">
        <v>160</v>
      </c>
    </row>
    <row r="232" spans="2:16" x14ac:dyDescent="0.3">
      <c r="B232" s="86" t="s">
        <v>460</v>
      </c>
      <c r="C232" s="87" t="s">
        <v>159</v>
      </c>
      <c r="D232" s="88" t="s">
        <v>720</v>
      </c>
      <c r="E232" s="89" t="s">
        <v>28</v>
      </c>
      <c r="F232" s="89">
        <v>1</v>
      </c>
      <c r="G232" s="90">
        <v>8</v>
      </c>
      <c r="H232" s="90">
        <v>8</v>
      </c>
      <c r="I232" s="90">
        <v>0</v>
      </c>
      <c r="J232" s="90">
        <v>0</v>
      </c>
      <c r="K232" s="90">
        <v>8</v>
      </c>
      <c r="L232" s="91">
        <v>8</v>
      </c>
      <c r="M232" s="92">
        <v>0</v>
      </c>
      <c r="N232" s="92">
        <v>0</v>
      </c>
      <c r="O232" s="90">
        <v>0</v>
      </c>
      <c r="P232" s="93">
        <v>480</v>
      </c>
    </row>
    <row r="233" spans="2:16" x14ac:dyDescent="0.3">
      <c r="B233" s="86" t="s">
        <v>463</v>
      </c>
      <c r="C233" s="87" t="s">
        <v>20</v>
      </c>
      <c r="D233" s="88" t="s">
        <v>721</v>
      </c>
      <c r="E233" s="89" t="s">
        <v>21</v>
      </c>
      <c r="F233" s="89">
        <v>1</v>
      </c>
      <c r="G233" s="90">
        <v>4</v>
      </c>
      <c r="H233" s="90">
        <v>2</v>
      </c>
      <c r="I233" s="90">
        <v>0</v>
      </c>
      <c r="J233" s="90">
        <v>0</v>
      </c>
      <c r="K233" s="90">
        <v>4</v>
      </c>
      <c r="L233" s="91">
        <v>2</v>
      </c>
      <c r="M233" s="92">
        <v>0</v>
      </c>
      <c r="N233" s="92">
        <v>0</v>
      </c>
      <c r="O233" s="90">
        <v>0</v>
      </c>
      <c r="P233" s="93">
        <v>160</v>
      </c>
    </row>
    <row r="234" spans="2:16" x14ac:dyDescent="0.3">
      <c r="B234" s="86" t="s">
        <v>461</v>
      </c>
      <c r="C234" s="87" t="s">
        <v>431</v>
      </c>
      <c r="D234" s="88" t="s">
        <v>722</v>
      </c>
      <c r="E234" s="89" t="s">
        <v>21</v>
      </c>
      <c r="F234" s="89">
        <v>1</v>
      </c>
      <c r="G234" s="90">
        <v>4</v>
      </c>
      <c r="H234" s="90">
        <v>2</v>
      </c>
      <c r="I234" s="90">
        <v>0</v>
      </c>
      <c r="J234" s="90">
        <v>0</v>
      </c>
      <c r="K234" s="90">
        <v>4</v>
      </c>
      <c r="L234" s="91">
        <v>2</v>
      </c>
      <c r="M234" s="92">
        <v>0</v>
      </c>
      <c r="N234" s="92">
        <v>0</v>
      </c>
      <c r="O234" s="90">
        <v>0</v>
      </c>
      <c r="P234" s="93">
        <v>160</v>
      </c>
    </row>
    <row r="235" spans="2:16" x14ac:dyDescent="0.3">
      <c r="B235" s="86" t="s">
        <v>465</v>
      </c>
      <c r="C235" s="87" t="s">
        <v>27</v>
      </c>
      <c r="D235" s="88" t="s">
        <v>723</v>
      </c>
      <c r="E235" s="89" t="s">
        <v>35</v>
      </c>
      <c r="F235" s="89">
        <v>1</v>
      </c>
      <c r="G235" s="90">
        <v>6</v>
      </c>
      <c r="H235" s="90">
        <v>6</v>
      </c>
      <c r="I235" s="90">
        <v>0</v>
      </c>
      <c r="J235" s="90">
        <v>0</v>
      </c>
      <c r="K235" s="90">
        <v>6</v>
      </c>
      <c r="L235" s="91">
        <v>6</v>
      </c>
      <c r="M235" s="92">
        <v>0</v>
      </c>
      <c r="N235" s="92">
        <v>0</v>
      </c>
      <c r="O235" s="90">
        <v>0</v>
      </c>
      <c r="P235" s="93">
        <v>360</v>
      </c>
    </row>
    <row r="236" spans="2:16" x14ac:dyDescent="0.3">
      <c r="B236" s="86" t="s">
        <v>466</v>
      </c>
      <c r="C236" s="87" t="s">
        <v>27</v>
      </c>
      <c r="D236" s="88" t="s">
        <v>724</v>
      </c>
      <c r="E236" s="89" t="s">
        <v>35</v>
      </c>
      <c r="F236" s="89">
        <v>1</v>
      </c>
      <c r="G236" s="90">
        <v>6</v>
      </c>
      <c r="H236" s="90">
        <v>6</v>
      </c>
      <c r="I236" s="90">
        <v>0</v>
      </c>
      <c r="J236" s="90">
        <v>0</v>
      </c>
      <c r="K236" s="90">
        <v>6</v>
      </c>
      <c r="L236" s="91">
        <v>6</v>
      </c>
      <c r="M236" s="92">
        <v>0</v>
      </c>
      <c r="N236" s="92">
        <v>0</v>
      </c>
      <c r="O236" s="90">
        <v>0</v>
      </c>
      <c r="P236" s="93">
        <v>360</v>
      </c>
    </row>
    <row r="237" spans="2:16" x14ac:dyDescent="0.3">
      <c r="B237" s="86" t="s">
        <v>462</v>
      </c>
      <c r="C237" s="87" t="s">
        <v>31</v>
      </c>
      <c r="D237" s="88" t="s">
        <v>725</v>
      </c>
      <c r="E237" s="89" t="s">
        <v>35</v>
      </c>
      <c r="F237" s="89">
        <v>1</v>
      </c>
      <c r="G237" s="90">
        <v>6</v>
      </c>
      <c r="H237" s="90">
        <v>6</v>
      </c>
      <c r="I237" s="90">
        <v>0</v>
      </c>
      <c r="J237" s="90">
        <v>0</v>
      </c>
      <c r="K237" s="90">
        <v>6</v>
      </c>
      <c r="L237" s="91">
        <v>6</v>
      </c>
      <c r="M237" s="92">
        <v>0</v>
      </c>
      <c r="N237" s="92">
        <v>0</v>
      </c>
      <c r="O237" s="90">
        <v>0</v>
      </c>
      <c r="P237" s="93">
        <v>360</v>
      </c>
    </row>
    <row r="238" spans="2:16" x14ac:dyDescent="0.3">
      <c r="B238" s="86" t="s">
        <v>467</v>
      </c>
      <c r="C238" s="87" t="s">
        <v>20</v>
      </c>
      <c r="D238" s="88" t="s">
        <v>726</v>
      </c>
      <c r="E238" s="89" t="s">
        <v>21</v>
      </c>
      <c r="F238" s="89">
        <v>1</v>
      </c>
      <c r="G238" s="90">
        <v>4</v>
      </c>
      <c r="H238" s="90">
        <v>2</v>
      </c>
      <c r="I238" s="90">
        <v>0</v>
      </c>
      <c r="J238" s="90">
        <v>0</v>
      </c>
      <c r="K238" s="90">
        <v>4</v>
      </c>
      <c r="L238" s="91">
        <v>2</v>
      </c>
      <c r="M238" s="92">
        <v>0</v>
      </c>
      <c r="N238" s="92">
        <v>0</v>
      </c>
      <c r="O238" s="90">
        <v>0</v>
      </c>
      <c r="P238" s="93">
        <v>160</v>
      </c>
    </row>
    <row r="239" spans="2:16" x14ac:dyDescent="0.3">
      <c r="B239" s="86" t="s">
        <v>672</v>
      </c>
      <c r="C239" s="87" t="s">
        <v>63</v>
      </c>
      <c r="D239" s="88" t="s">
        <v>727</v>
      </c>
      <c r="E239" s="89" t="s">
        <v>21</v>
      </c>
      <c r="F239" s="89">
        <v>1</v>
      </c>
      <c r="G239" s="90">
        <v>4</v>
      </c>
      <c r="H239" s="90">
        <v>2</v>
      </c>
      <c r="I239" s="90">
        <v>0</v>
      </c>
      <c r="J239" s="90">
        <v>0</v>
      </c>
      <c r="K239" s="90">
        <v>4</v>
      </c>
      <c r="L239" s="91">
        <v>2</v>
      </c>
      <c r="M239" s="92">
        <v>0</v>
      </c>
      <c r="N239" s="92">
        <v>0</v>
      </c>
      <c r="O239" s="90">
        <v>0</v>
      </c>
      <c r="P239" s="93">
        <v>160</v>
      </c>
    </row>
    <row r="240" spans="2:16" x14ac:dyDescent="0.3">
      <c r="B240" s="86" t="s">
        <v>673</v>
      </c>
      <c r="C240" s="87" t="s">
        <v>34</v>
      </c>
      <c r="D240" s="88" t="s">
        <v>728</v>
      </c>
      <c r="E240" s="89" t="s">
        <v>28</v>
      </c>
      <c r="F240" s="89">
        <v>1</v>
      </c>
      <c r="G240" s="90">
        <v>8</v>
      </c>
      <c r="H240" s="90">
        <v>8</v>
      </c>
      <c r="I240" s="90">
        <v>0</v>
      </c>
      <c r="J240" s="90">
        <v>0</v>
      </c>
      <c r="K240" s="90">
        <v>8</v>
      </c>
      <c r="L240" s="91">
        <v>8</v>
      </c>
      <c r="M240" s="92">
        <v>0</v>
      </c>
      <c r="N240" s="92">
        <v>0</v>
      </c>
      <c r="O240" s="90">
        <v>0</v>
      </c>
      <c r="P240" s="93">
        <v>480</v>
      </c>
    </row>
    <row r="241" spans="2:16" x14ac:dyDescent="0.3">
      <c r="B241" s="86" t="s">
        <v>674</v>
      </c>
      <c r="C241" s="87" t="s">
        <v>27</v>
      </c>
      <c r="D241" s="88" t="s">
        <v>729</v>
      </c>
      <c r="E241" s="89" t="s">
        <v>28</v>
      </c>
      <c r="F241" s="89">
        <v>1</v>
      </c>
      <c r="G241" s="90">
        <v>8</v>
      </c>
      <c r="H241" s="90">
        <v>8</v>
      </c>
      <c r="I241" s="90">
        <v>0</v>
      </c>
      <c r="J241" s="90">
        <v>0</v>
      </c>
      <c r="K241" s="90">
        <v>8</v>
      </c>
      <c r="L241" s="91">
        <v>8</v>
      </c>
      <c r="M241" s="92">
        <v>0</v>
      </c>
      <c r="N241" s="92">
        <v>0</v>
      </c>
      <c r="O241" s="90">
        <v>0</v>
      </c>
      <c r="P241" s="93">
        <v>480</v>
      </c>
    </row>
    <row r="242" spans="2:16" x14ac:dyDescent="0.3">
      <c r="B242" s="86" t="s">
        <v>675</v>
      </c>
      <c r="C242" s="87" t="s">
        <v>31</v>
      </c>
      <c r="D242" s="88" t="s">
        <v>730</v>
      </c>
      <c r="E242" s="89" t="s">
        <v>35</v>
      </c>
      <c r="F242" s="89">
        <v>1</v>
      </c>
      <c r="G242" s="90">
        <v>6</v>
      </c>
      <c r="H242" s="90">
        <v>6</v>
      </c>
      <c r="I242" s="90">
        <v>0</v>
      </c>
      <c r="J242" s="90">
        <v>0</v>
      </c>
      <c r="K242" s="90">
        <v>6</v>
      </c>
      <c r="L242" s="91">
        <v>6</v>
      </c>
      <c r="M242" s="92">
        <v>0</v>
      </c>
      <c r="N242" s="92">
        <v>0</v>
      </c>
      <c r="O242" s="90">
        <v>0</v>
      </c>
      <c r="P242" s="93">
        <v>360</v>
      </c>
    </row>
  </sheetData>
  <mergeCells count="1">
    <mergeCell ref="M2:N2"/>
  </mergeCells>
  <phoneticPr fontId="3" type="noConversion"/>
  <conditionalFormatting sqref="B225 B246:C1048576 B1:C2 B4:C6 B7:B223 B230:B242">
    <cfRule type="duplicateValues" dxfId="0" priority="4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계약이행율</vt:lpstr>
      <vt:lpstr>OIC</vt:lpstr>
      <vt:lpstr>계약이행율!Print_Area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koeun choi</dc:creator>
  <cp:lastModifiedBy>koeun choi</cp:lastModifiedBy>
  <dcterms:created xsi:type="dcterms:W3CDTF">2026-05-07T03:23:55Z</dcterms:created>
  <dcterms:modified xsi:type="dcterms:W3CDTF">2026-05-07T03:42:44Z</dcterms:modified>
</cp:coreProperties>
</file>