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60安全浏览器下载\새 폴더 (2)\"/>
    </mc:Choice>
  </mc:AlternateContent>
  <xr:revisionPtr revIDLastSave="0" documentId="13_ncr:1_{393288BB-55E2-436E-AE81-AD56BE68D15D}" xr6:coauthVersionLast="47" xr6:coauthVersionMax="47" xr10:uidLastSave="{00000000-0000-0000-0000-000000000000}"/>
  <bookViews>
    <workbookView xWindow="-110" yWindow="-110" windowWidth="22620" windowHeight="13500" xr2:uid="{DEA99F99-225F-4E99-9DC6-C46F1B2255DE}"/>
  </bookViews>
  <sheets>
    <sheet name="계약이행율" sheetId="1" r:id="rId1"/>
    <sheet name="OIC" sheetId="3" r:id="rId2"/>
  </sheets>
  <definedNames>
    <definedName name="_xlnm._FilterDatabase" localSheetId="1" hidden="1">OIC!$A$3:$P$240</definedName>
    <definedName name="_xlnm._FilterDatabase" localSheetId="0" hidden="1">계약이행율!$A$3:$O$242</definedName>
    <definedName name="_xlnm.Print_Area" localSheetId="0">계약이행율!$B$2:$O$238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3" l="1"/>
  <c r="O4" i="3"/>
  <c r="M4" i="3"/>
  <c r="N4" i="3"/>
  <c r="I4" i="3"/>
  <c r="H4" i="3"/>
  <c r="J4" i="3"/>
  <c r="K4" i="3"/>
  <c r="L4" i="3"/>
  <c r="G4" i="3"/>
  <c r="N243" i="1" l="1"/>
  <c r="O243" i="1"/>
  <c r="N244" i="1"/>
  <c r="O244" i="1"/>
  <c r="N245" i="1"/>
  <c r="O245" i="1"/>
  <c r="N246" i="1"/>
  <c r="O246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7" i="1"/>
  <c r="G146" i="1"/>
  <c r="G145" i="1"/>
  <c r="G142" i="1"/>
  <c r="G141" i="1"/>
  <c r="G139" i="1"/>
  <c r="G138" i="1"/>
  <c r="G137" i="1"/>
  <c r="G136" i="1"/>
  <c r="G135" i="1"/>
  <c r="G134" i="1"/>
  <c r="G131" i="1"/>
  <c r="G129" i="1"/>
  <c r="G127" i="1"/>
  <c r="G125" i="1"/>
  <c r="G124" i="1"/>
  <c r="G123" i="1"/>
  <c r="G122" i="1"/>
  <c r="G120" i="1"/>
  <c r="G117" i="1"/>
  <c r="G116" i="1"/>
  <c r="G114" i="1"/>
  <c r="G112" i="1"/>
  <c r="G111" i="1"/>
  <c r="G109" i="1"/>
  <c r="G108" i="1"/>
  <c r="G105" i="1"/>
  <c r="G104" i="1"/>
  <c r="G100" i="1"/>
  <c r="G98" i="1"/>
  <c r="G97" i="1"/>
  <c r="G92" i="1"/>
  <c r="G91" i="1"/>
  <c r="G89" i="1"/>
  <c r="G87" i="1"/>
  <c r="G86" i="1"/>
  <c r="G85" i="1"/>
  <c r="G83" i="1"/>
  <c r="G82" i="1"/>
  <c r="G81" i="1"/>
  <c r="G80" i="1"/>
  <c r="G78" i="1"/>
  <c r="G75" i="1"/>
  <c r="G74" i="1"/>
  <c r="G71" i="1"/>
  <c r="G69" i="1"/>
  <c r="G68" i="1"/>
  <c r="G66" i="1"/>
  <c r="G65" i="1"/>
  <c r="G64" i="1"/>
  <c r="G62" i="1"/>
  <c r="G61" i="1"/>
  <c r="G60" i="1"/>
  <c r="G59" i="1"/>
  <c r="G58" i="1"/>
  <c r="G57" i="1"/>
  <c r="G56" i="1"/>
  <c r="G55" i="1"/>
  <c r="G53" i="1"/>
  <c r="G52" i="1"/>
  <c r="G50" i="1"/>
  <c r="G49" i="1"/>
  <c r="G48" i="1"/>
  <c r="G47" i="1"/>
  <c r="G46" i="1"/>
  <c r="G45" i="1"/>
  <c r="G44" i="1"/>
  <c r="G43" i="1"/>
  <c r="G42" i="1"/>
  <c r="G40" i="1"/>
  <c r="G37" i="1"/>
  <c r="G36" i="1"/>
  <c r="G34" i="1"/>
  <c r="G33" i="1"/>
  <c r="G32" i="1"/>
  <c r="G31" i="1"/>
  <c r="G30" i="1"/>
  <c r="G28" i="1"/>
  <c r="G27" i="1"/>
  <c r="G25" i="1"/>
  <c r="G24" i="1"/>
  <c r="G23" i="1"/>
  <c r="G22" i="1"/>
  <c r="G21" i="1"/>
  <c r="G20" i="1"/>
  <c r="G19" i="1"/>
  <c r="G18" i="1"/>
  <c r="G17" i="1"/>
  <c r="G16" i="1"/>
  <c r="G14" i="1"/>
  <c r="G13" i="1"/>
  <c r="G12" i="1"/>
  <c r="G11" i="1"/>
  <c r="G9" i="1"/>
  <c r="G8" i="1"/>
  <c r="G7" i="1"/>
  <c r="G6" i="1"/>
  <c r="G4" i="1"/>
  <c r="O242" i="1" l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osstem</author>
  </authors>
  <commentList>
    <comment ref="J86" authorId="0" shapeId="0" xr:uid="{987A1C76-0DF1-4B48-AF4B-E9EB3CBB4F0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通用审批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-4
</t>
        </r>
        <r>
          <rPr>
            <sz val="9"/>
            <color indexed="81"/>
            <rFont val="宋体"/>
            <family val="3"/>
            <charset val="134"/>
          </rPr>
          <t>科康</t>
        </r>
      </text>
    </comment>
    <comment ref="J184" authorId="0" shapeId="0" xr:uid="{207C01F8-580E-456B-8978-92EB31C9637C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通用审批
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-4
</t>
        </r>
        <r>
          <rPr>
            <sz val="9"/>
            <color indexed="81"/>
            <rFont val="宋体"/>
            <family val="3"/>
            <charset val="134"/>
          </rPr>
          <t>希伯来</t>
        </r>
      </text>
    </comment>
    <comment ref="B212" authorId="0" shapeId="0" xr:uid="{A381B0EE-8761-4789-A6E2-63338442D3B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BatangChe"/>
            <family val="3"/>
            <charset val="129"/>
          </rPr>
          <t>부장님이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해외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국내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BatangChe"/>
            <family val="3"/>
            <charset val="129"/>
          </rPr>
          <t>개로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더주는느낌으로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쓰게함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그들은</t>
        </r>
        <r>
          <rPr>
            <sz val="9"/>
            <color indexed="81"/>
            <rFont val="Tahoma"/>
            <family val="2"/>
          </rPr>
          <t xml:space="preserve"> 4,4</t>
        </r>
        <r>
          <rPr>
            <sz val="9"/>
            <color indexed="81"/>
            <rFont val="BatangChe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알고있음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<sst xmlns="http://schemas.openxmlformats.org/spreadsheetml/2006/main" count="1776" uniqueCount="545">
  <si>
    <t>BIJT-C-LS-HK-25A-25-0071</t>
  </si>
  <si>
    <t>苏州海珥森医疗器械有限公司1</t>
  </si>
  <si>
    <t>上海事业部</t>
  </si>
  <si>
    <t>C</t>
  </si>
  <si>
    <t>BIJT-C-LS-DK-25A-25-0001</t>
  </si>
  <si>
    <t>植之道</t>
  </si>
  <si>
    <t>深圳事业部</t>
  </si>
  <si>
    <t>TIJT-B-ZLS-HK-25-3200603-25-2</t>
  </si>
  <si>
    <t>中诺集团1</t>
  </si>
  <si>
    <t>北京事业部</t>
  </si>
  <si>
    <t>A</t>
  </si>
  <si>
    <t>SIJT-C-LS-HK-25A-25-0008</t>
  </si>
  <si>
    <t>福州美可普</t>
  </si>
  <si>
    <t>杭州事业部</t>
  </si>
  <si>
    <t>BIJT-B-JX-HK-25A-25-0004</t>
  </si>
  <si>
    <t>蓝天集团</t>
  </si>
  <si>
    <t>南宁事业部</t>
  </si>
  <si>
    <t>B</t>
  </si>
  <si>
    <t>杭州杭人口腔1</t>
  </si>
  <si>
    <t>BIJT-C-LS-HK-25A-25-0020</t>
  </si>
  <si>
    <t>新会壹心维美</t>
  </si>
  <si>
    <t>SIJT-B-MLS-HK-25-0004</t>
  </si>
  <si>
    <t>麦芽</t>
  </si>
  <si>
    <t>BIJT-C-LS-HK-25A-25-0032</t>
  </si>
  <si>
    <t>南宁天使</t>
  </si>
  <si>
    <t>BIJT-C-JX-HK-25A-25-0011</t>
  </si>
  <si>
    <t>希柏莱（穗华口腔）</t>
  </si>
  <si>
    <t>绍兴复大</t>
  </si>
  <si>
    <t>BIJT-B-LS-HK-25A-25-0007</t>
  </si>
  <si>
    <t>厦门优选医疗科技有限公司</t>
  </si>
  <si>
    <t>BIJT-C-JX-XK-25A-25-0001</t>
  </si>
  <si>
    <t>北京顺德</t>
  </si>
  <si>
    <t>BIJT-C-LS-HK-25A-25-0064</t>
  </si>
  <si>
    <t>柏乐集团</t>
  </si>
  <si>
    <t>BIJT-C-LS-XK-25A-25-0003</t>
  </si>
  <si>
    <t>恩施汉祥医疗科技有限公司</t>
  </si>
  <si>
    <t>青岛事业部</t>
  </si>
  <si>
    <t>BIJT-C-LS-HK-25A-25-0062</t>
  </si>
  <si>
    <t>杭州杭人口腔2</t>
  </si>
  <si>
    <t>绍兴京韩</t>
  </si>
  <si>
    <t>SIJT-C-LS-HK-25A-25-0005</t>
  </si>
  <si>
    <t>南京新亚医疗器械有限公司1</t>
  </si>
  <si>
    <t>南京事业部</t>
  </si>
  <si>
    <t>BIJT-B-LS-HK-25A-25-0006</t>
  </si>
  <si>
    <t>南京和裕医疗器械有限公司1</t>
  </si>
  <si>
    <t>BIJT-C-LS-HK-25A-25-0012</t>
  </si>
  <si>
    <t>伶牙利</t>
  </si>
  <si>
    <t>BIJT-C-LS-HK-25A-25-0047</t>
  </si>
  <si>
    <t>北京优贝</t>
  </si>
  <si>
    <t>TIJT-C-LS-HK-25A-25-0007</t>
  </si>
  <si>
    <t>金海莱蒽1</t>
  </si>
  <si>
    <t>BIJT-B-JX-HK-25A-25-0007</t>
  </si>
  <si>
    <t>东莞东城百花1</t>
  </si>
  <si>
    <t>BIJT-A-JX-HK-25A-25-0009</t>
  </si>
  <si>
    <t>陌客尔</t>
  </si>
  <si>
    <t>BIJT-A-JX-HK-25A-25-0006</t>
  </si>
  <si>
    <t>上海健曜医疗器械有限公司1</t>
  </si>
  <si>
    <t>SIJT-C-MLS-HK-25-0002</t>
  </si>
  <si>
    <t>上海隆升和医疗科技有限公司</t>
  </si>
  <si>
    <t>BIJT-C-LS-HK-25A-25-0009</t>
  </si>
  <si>
    <t>宁波牙博士1</t>
  </si>
  <si>
    <t>SIJT-C-LS-HK-25A-25-0012</t>
  </si>
  <si>
    <t>北京中科领军</t>
  </si>
  <si>
    <t>TIJT-C-LS-HK-25A-25-0003</t>
  </si>
  <si>
    <t>顺德口腔</t>
  </si>
  <si>
    <t>BIJT-C-LS-HK-25A-25-0017</t>
  </si>
  <si>
    <t>北京鼎顺利商贸有限公司</t>
  </si>
  <si>
    <t>无锡贝壳</t>
  </si>
  <si>
    <t>BIJT-C-LS-HK-25A-25-0082</t>
  </si>
  <si>
    <t>辽宁鼎冠义齿科技有限公司</t>
  </si>
  <si>
    <t>沈阳事业部</t>
  </si>
  <si>
    <t>北京雅仕</t>
  </si>
  <si>
    <t>IMJT-C-MLS-HK-5100911-25-9</t>
  </si>
  <si>
    <t>无锡佳士洁</t>
  </si>
  <si>
    <t>BIJT-C-LS-HK-25A-25-0024</t>
  </si>
  <si>
    <t>南京金铂利</t>
  </si>
  <si>
    <t>BIJT-C-LS-HK-25A-25-0050</t>
  </si>
  <si>
    <t>广州海科医疗技术有限公司</t>
  </si>
  <si>
    <t>宜兴口腔</t>
  </si>
  <si>
    <t>莞口口腔</t>
  </si>
  <si>
    <t>BIJT-C-JX-HK-25A-25-0013</t>
  </si>
  <si>
    <t>康美尚（广州德伦）</t>
  </si>
  <si>
    <t>BIJT-C-LS-HK-25A-25-0029</t>
  </si>
  <si>
    <t>无锡爱牙</t>
  </si>
  <si>
    <t>SIJT-C-LS-HK-25A-25-0014</t>
  </si>
  <si>
    <t>吉林爱齿</t>
  </si>
  <si>
    <t>哈尔滨事业部</t>
  </si>
  <si>
    <t>IMJT-B-MLS-HK-4801242-25-1</t>
  </si>
  <si>
    <t>常州北极星</t>
  </si>
  <si>
    <t>BITJ-C-LS-HK-25A-25-0001</t>
  </si>
  <si>
    <t>常州艾齿嘉</t>
  </si>
  <si>
    <t>魔都派（上海）医疗器械有限公司</t>
  </si>
  <si>
    <t>BIJT-C-LS-HK-25A-25-0077</t>
  </si>
  <si>
    <t>同步</t>
  </si>
  <si>
    <t>소송중</t>
  </si>
  <si>
    <t>IMJT-C-MLS-HK-3000624-25-1</t>
  </si>
  <si>
    <t>深圳格伦菲尔</t>
  </si>
  <si>
    <t>SIJT-A-MLS-HK-25-0002</t>
  </si>
  <si>
    <t>武汉中泰医疗器械有限公司</t>
  </si>
  <si>
    <t>SIJT-C-LS-HK-25A-25-0001</t>
  </si>
  <si>
    <t>宁波诚适</t>
  </si>
  <si>
    <t>SIJT-C-MLS-HK-25-0003</t>
  </si>
  <si>
    <t>赤峰圭玺医疗器械有限公司</t>
  </si>
  <si>
    <t>BIJT-C-LS-HK-25A-25-0079</t>
  </si>
  <si>
    <t>湖北华玉</t>
  </si>
  <si>
    <t>BIJT-C-LS-HK-25A-25-0008</t>
  </si>
  <si>
    <t>福州海峡</t>
  </si>
  <si>
    <t>BIJT-C-LS-XK-25A-25-0005</t>
  </si>
  <si>
    <t>中诺集团2</t>
  </si>
  <si>
    <t>IMJT-C-LJX-HK-7200738-25-1</t>
  </si>
  <si>
    <t>南京舜禾贸易有限公司</t>
  </si>
  <si>
    <t>BIJT-A-JX-HK-25A-25-0003</t>
  </si>
  <si>
    <t>北京美呀</t>
  </si>
  <si>
    <t>BIJT-C-LS-HK-25A-25-0087</t>
  </si>
  <si>
    <t>万国口腔</t>
  </si>
  <si>
    <t>BIJT-C-LS-HK-25A-25-0055</t>
  </si>
  <si>
    <t>宁波德中</t>
  </si>
  <si>
    <t>BIJT-C-LS-HK-25A-25-0036</t>
  </si>
  <si>
    <t>温州一诺</t>
  </si>
  <si>
    <t>BIJT-A-LS-HK-25A-25-0001</t>
  </si>
  <si>
    <t>长春陈北松</t>
  </si>
  <si>
    <t>BIJT-B-JX-HK-25A-25-0003</t>
  </si>
  <si>
    <t>杭州望江门</t>
  </si>
  <si>
    <t>IMJT-C-MLS-XK-3000938-25-1</t>
  </si>
  <si>
    <t>东莞固德</t>
  </si>
  <si>
    <t>IMJT-C-MLS-XK-3000750-25-1</t>
  </si>
  <si>
    <t>科康</t>
  </si>
  <si>
    <t>BIJT-C-JX-HK-25A-25-0012</t>
  </si>
  <si>
    <t>柏德</t>
  </si>
  <si>
    <t>IMJT-B-MLS-HK-4800337-25-1</t>
  </si>
  <si>
    <t>沈阳九诺</t>
  </si>
  <si>
    <t>BIJT-C-LS-HK-25A-25-0048</t>
  </si>
  <si>
    <t>清镇牙博仕</t>
  </si>
  <si>
    <t>成都事业部</t>
  </si>
  <si>
    <t>美利口腔</t>
  </si>
  <si>
    <t>BIJT-C-LS-HK-25A-25-0053</t>
  </si>
  <si>
    <t>唐山牙博士</t>
  </si>
  <si>
    <t>BIJT-C-LS-HK-25A-25-0011</t>
  </si>
  <si>
    <t>BIJT-C-JX-HK-25A-25-0019</t>
  </si>
  <si>
    <t>瑞珒集团</t>
  </si>
  <si>
    <t>BIJT-A-LS-HK-25A-25-0002</t>
  </si>
  <si>
    <t>北京海德堡</t>
  </si>
  <si>
    <t>IMJT-A-MLS-HK-5002600-25-1</t>
  </si>
  <si>
    <t>扬州贝恩</t>
  </si>
  <si>
    <t>BIJT-B-JX-HK-25A-25-0006</t>
  </si>
  <si>
    <t>杭州牙科</t>
  </si>
  <si>
    <t>SIJT-C-MLS-HK-25-0001</t>
  </si>
  <si>
    <t>北京拜和</t>
  </si>
  <si>
    <t>BIJT-C-JX-HK-25A-25-0002</t>
  </si>
  <si>
    <t>德周口腔</t>
  </si>
  <si>
    <t>BIJT-B-LS-HK-25A-25-0010</t>
  </si>
  <si>
    <t>阳光树集团</t>
  </si>
  <si>
    <t>BIJT-C-LS-HK-25A-25-0051</t>
  </si>
  <si>
    <t>北京爵冠</t>
  </si>
  <si>
    <t>IMJT-C-MLS-HK-5002741-25-1</t>
  </si>
  <si>
    <t>德贝美</t>
  </si>
  <si>
    <t>SIJT-C-LS-HK-25A-25-0002</t>
  </si>
  <si>
    <t>南宁牙博士</t>
  </si>
  <si>
    <t>IMJT-C-LJX-YC-4801743-25-1</t>
  </si>
  <si>
    <t>刘运波集团</t>
  </si>
  <si>
    <t>SIJT-B-MLS-HK-25-0002</t>
  </si>
  <si>
    <t>无锡牙坐标</t>
  </si>
  <si>
    <t>TIJT-C-LS-HK-25A-25-0006</t>
  </si>
  <si>
    <t>上海尤旦</t>
  </si>
  <si>
    <t>BIJT-C-LS-HK-25A-25-0007</t>
  </si>
  <si>
    <t>上海医大</t>
  </si>
  <si>
    <t>TIJT-C-ZLS-HK-25-3200747-25-1</t>
  </si>
  <si>
    <t>长沙优伢仕</t>
  </si>
  <si>
    <t>BIJT-C-LS-HK-25A-25-0052</t>
  </si>
  <si>
    <t>太原环中</t>
  </si>
  <si>
    <t>太原事业部</t>
  </si>
  <si>
    <t>BIJT-C-JX-HK-25A-25-0001</t>
  </si>
  <si>
    <t>上海华尔康新科医疗器械有限公司</t>
  </si>
  <si>
    <t>BIJT-C-LS-HK-25A-25-0069</t>
  </si>
  <si>
    <t>惠州微笑</t>
  </si>
  <si>
    <t>TIJT-C-ZLS-HK-25-3200018-25-1</t>
  </si>
  <si>
    <t>杭州民利</t>
  </si>
  <si>
    <t>SIJT-C-LS-HK-25A-25-0007</t>
  </si>
  <si>
    <t>大同精典</t>
  </si>
  <si>
    <t>SIJT-A-JX-HK-25A-25-0001</t>
  </si>
  <si>
    <t>北京诚之康</t>
  </si>
  <si>
    <t>BIJT-C-LS-HK-25A-25-0004</t>
  </si>
  <si>
    <t>济南海诺健康科技有限公司</t>
  </si>
  <si>
    <t>SIJT-A-LJX-HK-25-0003</t>
  </si>
  <si>
    <t>成都西南</t>
  </si>
  <si>
    <t>BIJT-C-LS-HK-25A-25-0044</t>
  </si>
  <si>
    <t>桥水医疗(启飞口腔)</t>
  </si>
  <si>
    <t>BIJT-C-LS-HK-25A-25-0023</t>
  </si>
  <si>
    <t>隆化谢氏热河口腔门诊部</t>
  </si>
  <si>
    <t>BIJT-C-LS-HK-25A-25-0033</t>
  </si>
  <si>
    <t>上海美奥</t>
  </si>
  <si>
    <t>IMJT-C-MLS-HK-5002679-25-1</t>
  </si>
  <si>
    <t>三亚微笑口腔门诊部</t>
  </si>
  <si>
    <t>SIJT-A-MLS-HK-25-0001</t>
  </si>
  <si>
    <t>保定牙博士</t>
  </si>
  <si>
    <t>BIJT-C-LS-HK-25A-25-0068</t>
  </si>
  <si>
    <t>长沙雅贝康</t>
  </si>
  <si>
    <t>IMJT-B-MLS-HK-5001069-25-1</t>
  </si>
  <si>
    <t>汕头市青年牙博士</t>
  </si>
  <si>
    <t>唐昊喆</t>
  </si>
  <si>
    <t>SIJT-C-MLS-HK-25-0004</t>
  </si>
  <si>
    <t>宁波甬创兴华医疗管理有限公司</t>
  </si>
  <si>
    <t>BIJT-B-JX-HK-25A-25-0001</t>
  </si>
  <si>
    <t>泉州安格尔</t>
  </si>
  <si>
    <t>SIJT-C-LS-HK-25A-25-0003</t>
  </si>
  <si>
    <t>梅州泽山</t>
  </si>
  <si>
    <t>SIJT-C-LS-HK-25A-25-0006</t>
  </si>
  <si>
    <t>苏州品植</t>
  </si>
  <si>
    <t>SIJT-B-MLS-HK-25-0001</t>
  </si>
  <si>
    <t>武汉德亚</t>
  </si>
  <si>
    <t>IMJT-C-LJX-HK-5100997-25-1</t>
  </si>
  <si>
    <t>上海美诺</t>
  </si>
  <si>
    <t>BIJT-A-JX-HK-25A-25-0001</t>
  </si>
  <si>
    <t>武汉德派</t>
  </si>
  <si>
    <t>BIJT-C-LS-HK-25A-25-0003</t>
  </si>
  <si>
    <t>大庆医大</t>
  </si>
  <si>
    <t>BIJT-C-LS-HK-25A-25-0083</t>
  </si>
  <si>
    <t>郑州臻诚医疗科技有限公司</t>
  </si>
  <si>
    <t>BIJT-C-JX-HK-25A-25-0016</t>
  </si>
  <si>
    <t>天津市河西北一口腔门诊有限公司</t>
  </si>
  <si>
    <t>BIJT-C-LS-HK-25A-25-0078</t>
  </si>
  <si>
    <t>包头市贝特瑞尔连锁管理有限公司</t>
  </si>
  <si>
    <t>SIJT-A-LJX-HK-25-0001</t>
  </si>
  <si>
    <t>上海维佳康</t>
  </si>
  <si>
    <t>IMJT-A-LJX-XK-4801498-25-2</t>
  </si>
  <si>
    <t>BIJT-C-JX-HK-25A-25-0007</t>
  </si>
  <si>
    <t>SIJT-B-LJX-HK-25-0001</t>
  </si>
  <si>
    <t>重庆牙博仕</t>
  </si>
  <si>
    <t>BIJT-C-LS-HK-25A-25-0015</t>
  </si>
  <si>
    <t>四川齿康未来医疗器械有限公司</t>
  </si>
  <si>
    <t>IMJT-C-MLS-HK-5002945-25-1</t>
  </si>
  <si>
    <t>温州口腔医院有限公司连锁</t>
  </si>
  <si>
    <t>BIJT-C-LS-HK-25A-25-0058</t>
  </si>
  <si>
    <t>天津鑫雅尔医疗管理有限公司</t>
  </si>
  <si>
    <t>IMJT-C-MLS-HK-4800341-25-1</t>
  </si>
  <si>
    <t>贵州美索斯科技有限公司</t>
  </si>
  <si>
    <t>BIJT-C-LS-HK-25A-25-0021</t>
  </si>
  <si>
    <t>博罗牙博士</t>
  </si>
  <si>
    <t>SIJT-C-LS-HK-25A-25-0013</t>
  </si>
  <si>
    <t>北京齿泰华口腔医院有限公司</t>
  </si>
  <si>
    <t>IMJT-C-LJX-YC-4801774-25-3</t>
  </si>
  <si>
    <t>马鞍山鑫马</t>
  </si>
  <si>
    <t>SIJT-C-LS-HK-25A-25-0011</t>
  </si>
  <si>
    <t>苏州海珥森医疗器械有限公司2</t>
  </si>
  <si>
    <t>SIJT-C-LS-HK-25A-25-0019</t>
  </si>
  <si>
    <t>西藏恒博医疗器械有限责任公司</t>
  </si>
  <si>
    <t>BIJT-C-LS-HK-25A-25-0072</t>
  </si>
  <si>
    <t>爱康健</t>
  </si>
  <si>
    <t>SIJT-A-MLS-HK-25-0005</t>
  </si>
  <si>
    <t>沈阳十方精诚医疗器械有限公司</t>
  </si>
  <si>
    <t>IMJT-C-MLS-HK-4000228-25-1</t>
  </si>
  <si>
    <t>常州固德熊猫</t>
  </si>
  <si>
    <t>BIJT-C-JX-HK-25A-25-0015</t>
  </si>
  <si>
    <t>中山松鼠</t>
  </si>
  <si>
    <t>BIJT-C-LS-HK-25A-25-0067</t>
  </si>
  <si>
    <t>IMJT-C-MLS-HK-4601464-25-1</t>
  </si>
  <si>
    <t>南京康贝佳</t>
  </si>
  <si>
    <t>沈阳德亿康商贸有限公司</t>
  </si>
  <si>
    <t>BIJT-C-LS-HK-25A-25-0016</t>
  </si>
  <si>
    <t>如皋牙医</t>
  </si>
  <si>
    <t>TIJT-C-JXS-HK-25A-25-0001</t>
  </si>
  <si>
    <t>南京和裕医疗器械有限公司2</t>
  </si>
  <si>
    <t>SIJT-C-MLS-HK-25-0005</t>
  </si>
  <si>
    <t>江苏沪牙卫士医疗器械有限公司</t>
  </si>
  <si>
    <t>IMTJ-B-LJX-XK-3100743-25-1</t>
  </si>
  <si>
    <t>长沙春芽</t>
  </si>
  <si>
    <t>BIJT-B-JX-XK-25A-25-0001</t>
  </si>
  <si>
    <t>张家口玛格</t>
  </si>
  <si>
    <t>SIJT-A-LJX-HK-25-0004</t>
  </si>
  <si>
    <t>广安医贸惠众药业有限公司</t>
  </si>
  <si>
    <t>TIJT-C-LS-HK-25A-25-0002</t>
  </si>
  <si>
    <t>大厂立康</t>
  </si>
  <si>
    <t>BIJT-A-JX-HK-25A-25-0005</t>
  </si>
  <si>
    <t>合肥佳德</t>
  </si>
  <si>
    <t>BIJT-C-LS-HK-25A-25-0065</t>
  </si>
  <si>
    <t>郑州唯美</t>
  </si>
  <si>
    <t>IMJT-B-MLS-HK-4801538-25-1</t>
  </si>
  <si>
    <t>诸暨浙绍</t>
  </si>
  <si>
    <t>BIJT-A-JX-HK-25A-25-0002</t>
  </si>
  <si>
    <t>徐州牙管家</t>
  </si>
  <si>
    <t>BIJT-C-LS-HK-25A-25-0030</t>
  </si>
  <si>
    <t>成都星华美电子商务有限公司</t>
  </si>
  <si>
    <t>BIJT-A-JX-HK-25A-25-0004</t>
  </si>
  <si>
    <t>昆山苏迈尔</t>
  </si>
  <si>
    <t>BIJT-C-LS-HK-25A-25-0019</t>
  </si>
  <si>
    <t>北京华烨新北口腔有限公司</t>
  </si>
  <si>
    <t>IMJT-A-MLS-HK-5002208-25-1</t>
  </si>
  <si>
    <t>邢台宏皓</t>
  </si>
  <si>
    <t>SIJT-A-MLS-HK-25-0006</t>
  </si>
  <si>
    <t>成都圣贝</t>
  </si>
  <si>
    <t>SIJT-C-LS-HK-25A-25-0010</t>
  </si>
  <si>
    <t>无锡金汇</t>
  </si>
  <si>
    <t>IMJT-B-MLS-HK-4800025-25-1</t>
  </si>
  <si>
    <t>重庆臻时代</t>
  </si>
  <si>
    <t>IMJT-A-LJX-HK-3100905-25-1</t>
  </si>
  <si>
    <t>永齐</t>
  </si>
  <si>
    <t>BIJT-C-LS-HK-25A-25-0037</t>
  </si>
  <si>
    <t>徐州正博口腔医院有限公司</t>
  </si>
  <si>
    <t>BIJT-C-LS-HK-25A-25-0006</t>
  </si>
  <si>
    <t>BIJT-C-JX-XK-25A-25-0004</t>
  </si>
  <si>
    <t>北京雅宁</t>
  </si>
  <si>
    <t>BIJT-C-LS-HK-25A-25-0027</t>
  </si>
  <si>
    <t>北京劲松</t>
  </si>
  <si>
    <t>BIJT-C-LS-HK-25A-25-0041</t>
  </si>
  <si>
    <t>云南爱雅齿辉口腔医院有限公司广居路分公司</t>
  </si>
  <si>
    <t>BIJT-C-LS-HK-25A-25-0073</t>
  </si>
  <si>
    <t>杭州亮贝美口腔连锁</t>
  </si>
  <si>
    <t>BIJT-C-LS-HK-25A-25-0001</t>
  </si>
  <si>
    <t>金华博瑞迪医疗</t>
  </si>
  <si>
    <t>上海西大口腔诊所有限公司</t>
  </si>
  <si>
    <t>BIJT-C-LS-HK-25A-25-0002</t>
  </si>
  <si>
    <t>西昌春城口腔门诊部有限公司</t>
  </si>
  <si>
    <t>SIJT-C-LS-HK-25A-25-0015</t>
  </si>
  <si>
    <t>山西齿科医院</t>
  </si>
  <si>
    <t>IMJT-A-LJX-HK-5200757-25-1</t>
  </si>
  <si>
    <t>上海龙阖医疗器械科技有限公司</t>
  </si>
  <si>
    <t>TIJT-C-LS-HK-25A-25-0008</t>
  </si>
  <si>
    <t>众植齿科医院</t>
  </si>
  <si>
    <t>BIJT-C-LS-HK-25A-25-0084</t>
  </si>
  <si>
    <t>上海伊尔意口腔门诊部有限公司</t>
  </si>
  <si>
    <t>BIJT-B-JX-HK-25A-25-0005</t>
  </si>
  <si>
    <t>深圳尔睦丽沙口腔</t>
  </si>
  <si>
    <t>BIJT-C-LS-HK-25A-25-0046</t>
  </si>
  <si>
    <t>深圳河山口腔</t>
  </si>
  <si>
    <t>深圳尚创峰口腔门诊部</t>
  </si>
  <si>
    <t>TIJT-C-LS-HK-25A-25-0005</t>
  </si>
  <si>
    <t>盐城晋瑞口腔门诊部有限公司</t>
  </si>
  <si>
    <t>SIJT-B-MLS-HK-25-0003</t>
  </si>
  <si>
    <t>金华蓝芽口腔连锁</t>
  </si>
  <si>
    <t>BIJT-C-JX-XK-25A-25-0003</t>
  </si>
  <si>
    <t>惠州精英</t>
  </si>
  <si>
    <t>BIJT-C-LS-HK-25A-25-0074</t>
  </si>
  <si>
    <t>江苏博伢(南京茀莱堡口腔医院)</t>
  </si>
  <si>
    <t>BIJT-C-LS-HK-25A-25-0075</t>
  </si>
  <si>
    <t>芜湖市江城口腔有限责任公司</t>
  </si>
  <si>
    <t>SIJT-C-LS-HK-25A-25-0020</t>
  </si>
  <si>
    <t>嘉兴雅贝恩口腔连锁</t>
  </si>
  <si>
    <t>TIJT-C-LS-HK-25A-25-0009</t>
  </si>
  <si>
    <t>迁安雅美</t>
  </si>
  <si>
    <t>BIJT-C-LS-HK-25A-25-0042</t>
  </si>
  <si>
    <t>包头市京卓口腔门诊部有限公司</t>
  </si>
  <si>
    <t>BIJT-C-LS-HK-25A-25-0028</t>
  </si>
  <si>
    <t>北京首口</t>
  </si>
  <si>
    <t>BIJT-C-LS-HK-25A-25-0039</t>
  </si>
  <si>
    <t>唐山博尔</t>
  </si>
  <si>
    <t>SIJT-A-LJX-HK-25-0002</t>
  </si>
  <si>
    <t>BIJT-C-LS-HK-25A-25-0049</t>
  </si>
  <si>
    <t>长沙正念-好牙依</t>
  </si>
  <si>
    <t>BIJT-C-LS-XK-25A-25-0002</t>
  </si>
  <si>
    <t>云南亚云</t>
  </si>
  <si>
    <t>BIJT-C-JX-HK-25A-25-0010</t>
  </si>
  <si>
    <t>宁波牙博士2</t>
  </si>
  <si>
    <t>SIJT-C-LS-HK-25A-25-0004</t>
  </si>
  <si>
    <t>南京蓝鲟</t>
  </si>
  <si>
    <t>北京瑞尔</t>
  </si>
  <si>
    <t>SIJT-C-LJX-HK-25-0001</t>
  </si>
  <si>
    <t>玉溪舒尔</t>
  </si>
  <si>
    <t>BIJT-C-LS-HK-25A-25-0085</t>
  </si>
  <si>
    <t>江门市健森医疗器械有限公司</t>
  </si>
  <si>
    <t>BIJT-C-JX-HK-25A-25-0018</t>
  </si>
  <si>
    <t>江西贝尔医疗科技有限公司</t>
  </si>
  <si>
    <t>金海莱蒽2</t>
  </si>
  <si>
    <t>BIJT-C-JX-HK-25A-25-0017</t>
  </si>
  <si>
    <t>深圳君信</t>
  </si>
  <si>
    <t>BIJT-C-LS-HK-25A-25-0014</t>
  </si>
  <si>
    <t>杭州品凯</t>
  </si>
  <si>
    <t>BIJT-C-LS-HK-25A-25-0005</t>
  </si>
  <si>
    <t>长兴医疗器械公司</t>
  </si>
  <si>
    <t>SIJT-C-LS-HK-25A-25-0018</t>
  </si>
  <si>
    <t>湖北仁美</t>
  </si>
  <si>
    <t>BIJT-C-LS-HK-25A-25-0054</t>
  </si>
  <si>
    <t>宣城市为民口腔门诊部</t>
  </si>
  <si>
    <t>TIJT-A-ZLS-HK-25-3200508-25-1</t>
  </si>
  <si>
    <t>滨州瑞佳口腔医院有限公司</t>
  </si>
  <si>
    <t>众植博士</t>
  </si>
  <si>
    <t>IMJT-A-LJX-HK-3001090-25-1</t>
  </si>
  <si>
    <t>徐州诺恩口腔门诊部有限公司</t>
  </si>
  <si>
    <t>东莞东城百花2</t>
  </si>
  <si>
    <t>BIJT-C-LS-HK-25A-25-0076</t>
  </si>
  <si>
    <t>河北惟德口腔</t>
  </si>
  <si>
    <t>BIJT-C-LS-HK-25A-25-0022</t>
  </si>
  <si>
    <t>上海健曜医疗器械有限公司2</t>
  </si>
  <si>
    <t>BIJT-C-LS-HK-25A-25-0056</t>
  </si>
  <si>
    <t>南京新亚医疗器械有限公司2</t>
  </si>
  <si>
    <t>长沙牙祖口腔门诊部有限公司</t>
  </si>
  <si>
    <t>惠州口腔</t>
  </si>
  <si>
    <t>石家庄双合口腔</t>
  </si>
  <si>
    <t>烟台枫林医疗器械销售有限公司</t>
  </si>
  <si>
    <t>西安碑林大象口腔门诊部有限公司</t>
  </si>
  <si>
    <t>西宁事业部</t>
  </si>
  <si>
    <t>山东通汇医疗科技有限公司</t>
  </si>
  <si>
    <t>安徽摩汀口腔门诊有限公司</t>
  </si>
  <si>
    <t>重庆玖和医疗器械有限公司</t>
  </si>
  <si>
    <t>青岛柏瑞西诺德口腔门诊部</t>
  </si>
  <si>
    <t>上海鼎植</t>
  </si>
  <si>
    <t>杭州修元口腔</t>
  </si>
  <si>
    <t>苏州市相城区元和牙先生口腔诊所有限公司</t>
  </si>
  <si>
    <t>蚌埠皓芽口腔门诊部有限公司</t>
  </si>
  <si>
    <t>湖州伊雅医疗器械有限公司</t>
  </si>
  <si>
    <t>银川市兴庆区名仁口腔诊所</t>
  </si>
  <si>
    <t>合肥数智医疗管理有限公司</t>
  </si>
  <si>
    <t>郴州市植贝尔口腔有限公司</t>
  </si>
  <si>
    <t>泉州海丝口腔医院有限公司</t>
  </si>
  <si>
    <t>陌客尔2</t>
  </si>
  <si>
    <t>博罗牙博士2</t>
  </si>
  <si>
    <t>西宁蓝刺猬口腔门诊有限公司</t>
  </si>
  <si>
    <t>上海信智医疗器械有限公司</t>
  </si>
  <si>
    <t>北京劲松2</t>
  </si>
  <si>
    <t>东莞东城百花3</t>
  </si>
  <si>
    <t>26年/1月</t>
  </si>
  <si>
    <t>杭州通策</t>
  </si>
  <si>
    <t>植之道2</t>
  </si>
  <si>
    <t>滨海冠华口腔门诊部有限公司</t>
  </si>
  <si>
    <t>26年/2月</t>
  </si>
  <si>
    <t>诸暨杭成口腔门诊部有限公司</t>
  </si>
  <si>
    <t>南京和裕医疗器械有限公司3</t>
  </si>
  <si>
    <t>26年/3月</t>
  </si>
  <si>
    <t>西藏恒博医疗器械有限责任公司2</t>
  </si>
  <si>
    <t>品杰口腔</t>
  </si>
  <si>
    <t>忠贲医疗</t>
  </si>
  <si>
    <t>常州今日</t>
  </si>
  <si>
    <t>合肥爱尔美口腔门诊部有限公司</t>
  </si>
  <si>
    <t>北京优贝2</t>
  </si>
  <si>
    <t>北京顺德2</t>
  </si>
  <si>
    <t>泰州玲珑口腔</t>
  </si>
  <si>
    <t>安徽静泽医疗器械有限公司</t>
  </si>
  <si>
    <t>취소계약제외</t>
    <phoneticPr fontId="14" type="noConversion"/>
  </si>
  <si>
    <t>사업부</t>
    <phoneticPr fontId="14" type="noConversion"/>
  </si>
  <si>
    <t>계약번호</t>
    <phoneticPr fontId="14" type="noConversion"/>
  </si>
  <si>
    <t>등급</t>
    <phoneticPr fontId="14" type="noConversion"/>
  </si>
  <si>
    <t>계약횟수</t>
    <phoneticPr fontId="14" type="noConversion"/>
  </si>
  <si>
    <t>소진율</t>
    <phoneticPr fontId="14" type="noConversion"/>
  </si>
  <si>
    <t>국내OIC</t>
    <phoneticPr fontId="14" type="noConversion"/>
  </si>
  <si>
    <t>해외OIC</t>
    <phoneticPr fontId="14" type="noConversion"/>
  </si>
  <si>
    <t>福州福仁采销科技有限公司</t>
  </si>
  <si>
    <t>广德阳光口腔医院有限公司</t>
  </si>
  <si>
    <t>昆明久植医疗器械有限公司</t>
  </si>
  <si>
    <t>天津鑫雅尔医疗管理有限公司2</t>
  </si>
  <si>
    <t>杭州亮贝美口腔连锁2</t>
  </si>
  <si>
    <t>BIJT-C-LS-HK-25A-25-0095</t>
  </si>
  <si>
    <t>BIJT-C-LS-HK-25A-25-0096</t>
  </si>
  <si>
    <t>BIJT-B-LS-HK-25A-25-0013</t>
  </si>
  <si>
    <t>SIJT-B-JX-HK-25A-26-0001</t>
  </si>
  <si>
    <t>BIJT-C-LS-XK-25A-25-0007</t>
  </si>
  <si>
    <t>SIJT-B-LS-HK-25A-25-0001</t>
  </si>
  <si>
    <t>BIJT-C-LS-HK-25A-25-0094</t>
  </si>
  <si>
    <t>BIJT-C-JX-HK-25A-25-0028</t>
  </si>
  <si>
    <t>BIJT-C-LS-HK-25A-25-0090</t>
  </si>
  <si>
    <t>BIJT-C-JX-HK-25A-25-0027</t>
  </si>
  <si>
    <t>SIJT-C-LS-HK-25A-25-0021</t>
  </si>
  <si>
    <t>SIJT-A-JX-HK-25A-26-0002</t>
  </si>
  <si>
    <t>BIJT-A-JX-HK-25A-25-0015</t>
  </si>
  <si>
    <t>SIJT-A-JX-HK-25A-25-0006</t>
  </si>
  <si>
    <t>BIJT-C-LS-HK-25A-25-0089</t>
  </si>
  <si>
    <t>BIJT-B-JX-HK-25A-25-0008</t>
  </si>
  <si>
    <t>BIJT-B-LS-HK-25A-25-0012</t>
  </si>
  <si>
    <t>BIJT-C-LS-HK-25A-25-0101</t>
  </si>
  <si>
    <t>BIJT-C-JX-HK-25A-25-0024</t>
  </si>
  <si>
    <t>BIJT-A-JX-HK-25A-25-0011</t>
  </si>
  <si>
    <t>BIJT-A-JX-XK-25A-25-0001</t>
  </si>
  <si>
    <t>BIJT-A-JX-HK-25A-25-0014</t>
  </si>
  <si>
    <t>TIJT-C-LS-HK-25A-25-0013</t>
  </si>
  <si>
    <t>BIJT-C-JX-XK-25A-25-0005</t>
  </si>
  <si>
    <t>BIJT-C-JX-HK-25A-25-0021</t>
  </si>
  <si>
    <t>BIJT-C-LS-HK-25A-25-0097</t>
  </si>
  <si>
    <t>BIJT-C-LS-HK-25A-25-0133</t>
  </si>
  <si>
    <t>BIJT-C-LS-HK-25A-25-0086</t>
  </si>
  <si>
    <t>BIJT-C-JX-HK-25A-25-0023</t>
  </si>
  <si>
    <t>BITJ-C-LS-HK-25A-25-0002</t>
  </si>
  <si>
    <t>BIJT-C-LS-XK-25A-25-0006</t>
  </si>
  <si>
    <t>BIJT-C-JX-HK-25A-25-0009</t>
  </si>
  <si>
    <t>SIJT-A-JX-HK-25A-25-0007</t>
  </si>
  <si>
    <t>BIJT-C-JX-HK-25A-25-0025</t>
  </si>
  <si>
    <t>BIJT-C-LS-XK-25A-25-0004</t>
  </si>
  <si>
    <t>SIJT-A-LS-HK-25A-26-0001</t>
  </si>
  <si>
    <t>SIJT-A-JX-HK-25A-26-0001</t>
  </si>
  <si>
    <t>BIJT-A-JX-HK-25A-26-0001</t>
  </si>
  <si>
    <t>BIJT-C-LS-HK-25A-26-0001</t>
  </si>
  <si>
    <t>BIJT-C-LS-HK-25A-26-0002</t>
  </si>
  <si>
    <t>BIJT-A-JX-HK-25A-26-0003</t>
  </si>
  <si>
    <t>BIJT-A-JX-HK-25A-26-0004</t>
  </si>
  <si>
    <t>BIJT-C-LS-HK-25A-26-0004</t>
  </si>
  <si>
    <t>BIJT-C-JX-HK-25A-26-0002</t>
  </si>
  <si>
    <t>BIJT-A-JX-HK-25A-26-0005</t>
  </si>
  <si>
    <t>BIJT-C-LS-HK-25A-26-0006</t>
  </si>
  <si>
    <t>BIJT-C-LS-HK-25A-26-0008</t>
  </si>
  <si>
    <t>BIJT-B-LS-XK-25A-26-0002</t>
  </si>
  <si>
    <t>BIJT-B-LS-XK-25A-26-0003</t>
  </si>
  <si>
    <t>BIJT-B-LS-HK-25A-26-0001</t>
  </si>
  <si>
    <t>BIJT-C-LS-HK-25A-26-0009</t>
  </si>
  <si>
    <t>BIJT-C-LS-HK-25A-26-0011</t>
  </si>
  <si>
    <t>SIJT-A-JX-HK-25A-26-0003</t>
  </si>
  <si>
    <t>TIJT-A-JXS-HK-25A-26-0002</t>
  </si>
  <si>
    <t>BIJT-B-LS-HK-25A-26-0002</t>
  </si>
  <si>
    <t>계약 기본사항</t>
    <phoneticPr fontId="3" type="noConversion"/>
  </si>
  <si>
    <t>계약진행현황</t>
    <phoneticPr fontId="3" type="noConversion"/>
  </si>
  <si>
    <t>진행율</t>
    <phoneticPr fontId="3" type="noConversion"/>
  </si>
  <si>
    <t>그룹명</t>
    <phoneticPr fontId="3" type="noConversion"/>
  </si>
  <si>
    <t>사업부</t>
    <phoneticPr fontId="3" type="noConversion"/>
  </si>
  <si>
    <t>등급</t>
    <phoneticPr fontId="3" type="noConversion"/>
  </si>
  <si>
    <t>유효기간</t>
    <phoneticPr fontId="3" type="noConversion"/>
  </si>
  <si>
    <t>월</t>
    <phoneticPr fontId="3" type="noConversion"/>
  </si>
  <si>
    <t>갱신기간</t>
    <phoneticPr fontId="3" type="noConversion"/>
  </si>
  <si>
    <t>매출액
(세금불포함)</t>
    <phoneticPr fontId="3" type="noConversion"/>
  </si>
  <si>
    <t>fixture
(총수량)</t>
    <phoneticPr fontId="3" type="noConversion"/>
  </si>
  <si>
    <t>fixture
(0원제외)</t>
    <phoneticPr fontId="3" type="noConversion"/>
  </si>
  <si>
    <t>수금액</t>
    <phoneticPr fontId="3" type="noConversion"/>
  </si>
  <si>
    <t>계약액</t>
    <phoneticPr fontId="3" type="noConversion"/>
  </si>
  <si>
    <t>수금율</t>
    <phoneticPr fontId="3" type="noConversion"/>
  </si>
  <si>
    <t>계약달성율</t>
    <phoneticPr fontId="3" type="noConversion"/>
  </si>
  <si>
    <t>德周口腔2</t>
  </si>
  <si>
    <t>26年/4月</t>
  </si>
  <si>
    <t>刘运波集团2</t>
  </si>
  <si>
    <t>宁波桃源口腔医院有限公司</t>
  </si>
  <si>
    <t>广西粤桂时代</t>
  </si>
  <si>
    <t>武汉海柯迪医疗器械有限公司</t>
  </si>
  <si>
    <t>上海沪申五官科医院有限公司</t>
  </si>
  <si>
    <t>新余新奥口腔门诊有限公司</t>
  </si>
  <si>
    <t>그룹명</t>
    <phoneticPr fontId="14" type="noConversion"/>
  </si>
  <si>
    <t>계약횟수</t>
    <phoneticPr fontId="3" type="noConversion"/>
  </si>
  <si>
    <t>증정가능수량</t>
    <phoneticPr fontId="14" type="noConversion"/>
  </si>
  <si>
    <t>잔여수량</t>
    <phoneticPr fontId="14" type="noConversion"/>
  </si>
  <si>
    <t>사용수량</t>
    <phoneticPr fontId="14" type="noConversion"/>
  </si>
  <si>
    <t>fixture
기교환 수량</t>
    <phoneticPr fontId="14" type="noConversion"/>
  </si>
  <si>
    <t>fixture
교환 가능수량</t>
    <phoneticPr fontId="14" type="noConversion"/>
  </si>
  <si>
    <t>TOTAL</t>
  </si>
  <si>
    <t>공립사용</t>
  </si>
  <si>
    <t>시장부사용</t>
  </si>
  <si>
    <r>
      <t>陌客尔</t>
    </r>
    <r>
      <rPr>
        <sz val="10"/>
        <color theme="1"/>
        <rFont val="Malgun Gothic"/>
        <family val="2"/>
        <charset val="129"/>
      </rPr>
      <t>1</t>
    </r>
    <phoneticPr fontId="3" type="noConversion"/>
  </si>
  <si>
    <t>慈溪华阳</t>
  </si>
  <si>
    <t>26年/5月</t>
  </si>
  <si>
    <t>市口仲致雅</t>
  </si>
  <si>
    <t>象山贝瓦口腔诊所有限公司</t>
  </si>
  <si>
    <t>安徽固德</t>
  </si>
  <si>
    <t>长沙事业部</t>
  </si>
  <si>
    <t>BIJT-B-LS-HK-25A-26-0003</t>
  </si>
  <si>
    <t>SIJT-C-JX-HK-25A-26-0002</t>
  </si>
  <si>
    <t>BIJT-C-LS-HK-25A-26-0013</t>
  </si>
  <si>
    <t>BIJT-C-LS-HK-25A-26-0012</t>
  </si>
  <si>
    <t>TIJT-A-LS-HK-25A-26-0003</t>
  </si>
  <si>
    <t>TIJT-A-LS-HK-25A-26-0002</t>
  </si>
  <si>
    <t>BIJT-C-LS-HK-25A-26-0015</t>
  </si>
  <si>
    <t>BIJT-C-LS-HK-25A-26-0017</t>
  </si>
  <si>
    <t>BIJT-C-LS-HK-25A-26-0014</t>
  </si>
  <si>
    <t>BIJT-C-LS-HK-25A-26-0016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</si>
</sst>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&quot;月&quot;"/>
    <numFmt numFmtId="178" formatCode="#,##0_);[Red]\(#,##0\)"/>
  </numFmts>
  <fonts count="2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1"/>
      <color theme="0"/>
      <name val="Malgun Gothic"/>
      <family val="2"/>
      <charset val="129"/>
    </font>
    <font>
      <sz val="10"/>
      <color theme="1"/>
      <name val="Malgun Gothic"/>
      <family val="2"/>
      <charset val="129"/>
    </font>
    <font>
      <b/>
      <sz val="10"/>
      <color theme="0"/>
      <name val="Malgun Gothic"/>
      <family val="2"/>
      <charset val="129"/>
    </font>
    <font>
      <b/>
      <sz val="10"/>
      <color theme="0"/>
      <name val="Malgun Gothic"/>
      <family val="2"/>
      <charset val="134"/>
    </font>
    <font>
      <b/>
      <sz val="10"/>
      <color theme="0"/>
      <name val="Malgun Gothic"/>
      <family val="2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  <font>
      <sz val="10"/>
      <color rgb="FFFF0000"/>
      <name val="Malgun Gothic"/>
      <family val="2"/>
      <charset val="129"/>
    </font>
    <font>
      <sz val="9"/>
      <name val="等线"/>
      <family val="3"/>
      <charset val="134"/>
      <scheme val="minor"/>
    </font>
    <font>
      <sz val="10"/>
      <color indexed="8"/>
      <name val="Malgun Gothic"/>
      <family val="2"/>
      <charset val="129"/>
    </font>
    <font>
      <b/>
      <sz val="10"/>
      <color indexed="8"/>
      <name val="Malgun Gothic"/>
      <family val="2"/>
    </font>
    <font>
      <b/>
      <sz val="10"/>
      <color rgb="FF000000"/>
      <name val="Malgun Gothic"/>
      <family val="2"/>
    </font>
    <font>
      <b/>
      <sz val="10"/>
      <color rgb="FF0000FF"/>
      <name val="Malgun Gothic"/>
      <family val="2"/>
    </font>
    <font>
      <b/>
      <sz val="11"/>
      <color rgb="FF000000"/>
      <name val="Malgun Gothic"/>
      <family val="2"/>
    </font>
    <font>
      <sz val="10"/>
      <color indexed="8"/>
      <name val="Malgun Gothic"/>
      <family val="2"/>
    </font>
    <font>
      <sz val="10"/>
      <color rgb="FFFF0000"/>
      <name val="Malgun Gothic"/>
      <family val="2"/>
    </font>
    <font>
      <sz val="10"/>
      <color rgb="FF0000FF"/>
      <name val="Malgun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9"/>
      <color indexed="81"/>
      <name val="BatangChe"/>
      <family val="3"/>
      <charset val="129"/>
    </font>
    <font>
      <b/>
      <sz val="10"/>
      <color theme="7"/>
      <name val="Malgun Gothic"/>
      <family val="2"/>
      <charset val="129"/>
    </font>
    <font>
      <sz val="10"/>
      <color rgb="FFFF0000"/>
      <name val="等线"/>
      <family val="2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348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dashed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thin">
        <color theme="0" tint="-4.9989318521683403E-2"/>
      </top>
      <bottom style="hair">
        <color theme="1" tint="0.24994659260841701"/>
      </bottom>
      <diagonal/>
    </border>
    <border>
      <left/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/>
      <top/>
      <bottom style="hair">
        <color theme="1" tint="0.24994659260841701"/>
      </bottom>
      <diagonal/>
    </border>
    <border>
      <left/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hair">
        <color theme="1" tint="0.24994659260841701"/>
      </top>
      <bottom style="hair">
        <color theme="1" tint="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1" fontId="4" fillId="0" borderId="0" xfId="1" applyFont="1">
      <alignment vertical="center"/>
    </xf>
    <xf numFmtId="9" fontId="2" fillId="0" borderId="0" xfId="2" applyFont="1">
      <alignment vertical="center"/>
    </xf>
    <xf numFmtId="9" fontId="2" fillId="0" borderId="0" xfId="2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41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8" fontId="2" fillId="0" borderId="1" xfId="1" applyNumberFormat="1" applyFont="1" applyBorder="1">
      <alignment vertical="center"/>
    </xf>
    <xf numFmtId="9" fontId="10" fillId="0" borderId="1" xfId="2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8" fontId="2" fillId="0" borderId="1" xfId="0" applyNumberFormat="1" applyFont="1" applyBorder="1">
      <alignment vertical="center"/>
    </xf>
    <xf numFmtId="41" fontId="2" fillId="0" borderId="1" xfId="1" applyFont="1" applyBorder="1">
      <alignment vertical="center"/>
    </xf>
    <xf numFmtId="9" fontId="11" fillId="0" borderId="1" xfId="2" applyFont="1" applyBorder="1">
      <alignment vertical="center"/>
    </xf>
    <xf numFmtId="9" fontId="11" fillId="0" borderId="1" xfId="2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13" fillId="0" borderId="0" xfId="3" applyFont="1" applyAlignment="1">
      <alignment horizontal="left" vertical="center"/>
    </xf>
    <xf numFmtId="0" fontId="15" fillId="0" borderId="0" xfId="3" applyFont="1">
      <alignment vertical="center"/>
    </xf>
    <xf numFmtId="0" fontId="15" fillId="0" borderId="0" xfId="3" applyFont="1" applyAlignment="1">
      <alignment horizontal="center" vertical="center"/>
    </xf>
    <xf numFmtId="41" fontId="15" fillId="0" borderId="0" xfId="4" applyFont="1">
      <alignment vertical="center"/>
    </xf>
    <xf numFmtId="0" fontId="9" fillId="2" borderId="3" xfId="3" applyFont="1" applyFill="1" applyBorder="1">
      <alignment vertical="center"/>
    </xf>
    <xf numFmtId="0" fontId="9" fillId="2" borderId="4" xfId="3" applyFont="1" applyFill="1" applyBorder="1">
      <alignment vertical="center"/>
    </xf>
    <xf numFmtId="0" fontId="9" fillId="2" borderId="4" xfId="3" applyFont="1" applyFill="1" applyBorder="1" applyAlignment="1">
      <alignment horizontal="center" vertical="center"/>
    </xf>
    <xf numFmtId="0" fontId="16" fillId="0" borderId="0" xfId="3" applyFont="1">
      <alignment vertical="center"/>
    </xf>
    <xf numFmtId="0" fontId="9" fillId="2" borderId="6" xfId="3" applyFont="1" applyFill="1" applyBorder="1" applyAlignment="1">
      <alignment horizontal="center" vertical="center"/>
    </xf>
    <xf numFmtId="0" fontId="9" fillId="2" borderId="6" xfId="3" applyFont="1" applyFill="1" applyBorder="1">
      <alignment vertical="center"/>
    </xf>
    <xf numFmtId="0" fontId="9" fillId="2" borderId="7" xfId="3" applyFont="1" applyFill="1" applyBorder="1">
      <alignment vertical="center"/>
    </xf>
    <xf numFmtId="0" fontId="9" fillId="2" borderId="7" xfId="3" applyFont="1" applyFill="1" applyBorder="1" applyAlignment="1">
      <alignment horizontal="center" vertical="center"/>
    </xf>
    <xf numFmtId="0" fontId="9" fillId="2" borderId="8" xfId="3" applyFont="1" applyFill="1" applyBorder="1" applyAlignment="1">
      <alignment horizontal="center" vertical="center"/>
    </xf>
    <xf numFmtId="0" fontId="9" fillId="4" borderId="8" xfId="3" applyFont="1" applyFill="1" applyBorder="1" applyAlignment="1">
      <alignment horizontal="center" vertical="center"/>
    </xf>
    <xf numFmtId="0" fontId="9" fillId="4" borderId="9" xfId="3" applyFont="1" applyFill="1" applyBorder="1" applyAlignment="1">
      <alignment horizontal="center" vertical="center"/>
    </xf>
    <xf numFmtId="176" fontId="17" fillId="6" borderId="10" xfId="3" applyNumberFormat="1" applyFont="1" applyFill="1" applyBorder="1" applyAlignment="1">
      <alignment horizontal="center" vertical="center"/>
    </xf>
    <xf numFmtId="178" fontId="17" fillId="6" borderId="11" xfId="3" applyNumberFormat="1" applyFont="1" applyFill="1" applyBorder="1" applyAlignment="1">
      <alignment horizontal="center" vertical="center"/>
    </xf>
    <xf numFmtId="176" fontId="16" fillId="0" borderId="0" xfId="3" applyNumberFormat="1" applyFont="1" applyAlignment="1">
      <alignment horizontal="left" vertical="center"/>
    </xf>
    <xf numFmtId="176" fontId="17" fillId="6" borderId="13" xfId="3" applyNumberFormat="1" applyFont="1" applyFill="1" applyBorder="1" applyAlignment="1">
      <alignment horizontal="center" vertical="center"/>
    </xf>
    <xf numFmtId="176" fontId="19" fillId="6" borderId="14" xfId="3" applyNumberFormat="1" applyFont="1" applyFill="1" applyBorder="1" applyAlignment="1">
      <alignment horizontal="center" vertical="center"/>
    </xf>
    <xf numFmtId="178" fontId="17" fillId="6" borderId="14" xfId="3" applyNumberFormat="1" applyFont="1" applyFill="1" applyBorder="1" applyAlignment="1">
      <alignment horizontal="center" vertical="center"/>
    </xf>
    <xf numFmtId="0" fontId="20" fillId="0" borderId="16" xfId="3" applyFont="1" applyBorder="1" applyAlignment="1">
      <alignment horizontal="left" vertical="center"/>
    </xf>
    <xf numFmtId="0" fontId="20" fillId="0" borderId="16" xfId="3" applyFont="1" applyBorder="1" applyAlignment="1">
      <alignment horizontal="center" vertical="center"/>
    </xf>
    <xf numFmtId="0" fontId="20" fillId="0" borderId="17" xfId="3" applyFont="1" applyBorder="1">
      <alignment vertical="center"/>
    </xf>
    <xf numFmtId="0" fontId="20" fillId="0" borderId="17" xfId="3" applyFont="1" applyBorder="1" applyAlignment="1">
      <alignment horizontal="center" vertical="center"/>
    </xf>
    <xf numFmtId="41" fontId="20" fillId="0" borderId="17" xfId="4" applyFont="1" applyBorder="1" applyAlignment="1">
      <alignment horizontal="center" vertical="center"/>
    </xf>
    <xf numFmtId="41" fontId="20" fillId="0" borderId="18" xfId="4" applyFont="1" applyBorder="1" applyAlignment="1">
      <alignment horizontal="center" vertical="center"/>
    </xf>
    <xf numFmtId="9" fontId="20" fillId="0" borderId="17" xfId="5" applyFont="1" applyBorder="1" applyAlignment="1">
      <alignment horizontal="center" vertical="center"/>
    </xf>
    <xf numFmtId="0" fontId="21" fillId="7" borderId="17" xfId="3" applyFont="1" applyFill="1" applyBorder="1" applyAlignment="1">
      <alignment horizontal="center" vertical="center"/>
    </xf>
    <xf numFmtId="0" fontId="22" fillId="0" borderId="0" xfId="3" applyFont="1">
      <alignment vertical="center"/>
    </xf>
    <xf numFmtId="41" fontId="20" fillId="8" borderId="17" xfId="4" applyFont="1" applyFill="1" applyBorder="1" applyAlignment="1">
      <alignment horizontal="center" vertical="center"/>
    </xf>
    <xf numFmtId="0" fontId="20" fillId="0" borderId="16" xfId="3" applyFont="1" applyBorder="1">
      <alignment vertical="center"/>
    </xf>
    <xf numFmtId="0" fontId="20" fillId="0" borderId="18" xfId="3" applyFont="1" applyBorder="1">
      <alignment vertical="center"/>
    </xf>
    <xf numFmtId="14" fontId="7" fillId="2" borderId="1" xfId="0" applyNumberFormat="1" applyFont="1" applyFill="1" applyBorder="1" applyAlignment="1">
      <alignment horizontal="center" vertical="center"/>
    </xf>
    <xf numFmtId="14" fontId="27" fillId="2" borderId="1" xfId="0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9" fillId="2" borderId="3" xfId="3" applyFont="1" applyFill="1" applyBorder="1" applyAlignment="1">
      <alignment horizontal="center" vertical="center"/>
    </xf>
    <xf numFmtId="176" fontId="17" fillId="6" borderId="11" xfId="3" applyNumberFormat="1" applyFont="1" applyFill="1" applyBorder="1" applyAlignment="1">
      <alignment horizontal="center" vertical="center"/>
    </xf>
    <xf numFmtId="178" fontId="18" fillId="6" borderId="11" xfId="3" applyNumberFormat="1" applyFont="1" applyFill="1" applyBorder="1" applyAlignment="1">
      <alignment horizontal="center" vertical="center"/>
    </xf>
    <xf numFmtId="178" fontId="18" fillId="6" borderId="12" xfId="3" applyNumberFormat="1" applyFont="1" applyFill="1" applyBorder="1" applyAlignment="1">
      <alignment horizontal="center" vertical="center"/>
    </xf>
    <xf numFmtId="9" fontId="18" fillId="6" borderId="11" xfId="5" applyFont="1" applyFill="1" applyBorder="1" applyAlignment="1">
      <alignment horizontal="center" vertical="center"/>
    </xf>
    <xf numFmtId="178" fontId="17" fillId="6" borderId="11" xfId="4" applyNumberFormat="1" applyFont="1" applyFill="1" applyBorder="1" applyAlignment="1">
      <alignment horizontal="center" vertical="center"/>
    </xf>
    <xf numFmtId="176" fontId="17" fillId="6" borderId="14" xfId="3" applyNumberFormat="1" applyFont="1" applyFill="1" applyBorder="1" applyAlignment="1">
      <alignment horizontal="center" vertical="center"/>
    </xf>
    <xf numFmtId="178" fontId="18" fillId="6" borderId="14" xfId="3" applyNumberFormat="1" applyFont="1" applyFill="1" applyBorder="1" applyAlignment="1">
      <alignment horizontal="center" vertical="center"/>
    </xf>
    <xf numFmtId="178" fontId="18" fillId="6" borderId="15" xfId="3" applyNumberFormat="1" applyFont="1" applyFill="1" applyBorder="1" applyAlignment="1">
      <alignment horizontal="center" vertical="center"/>
    </xf>
    <xf numFmtId="9" fontId="18" fillId="6" borderId="14" xfId="5" applyFont="1" applyFill="1" applyBorder="1" applyAlignment="1">
      <alignment horizontal="center" vertical="center"/>
    </xf>
    <xf numFmtId="178" fontId="17" fillId="6" borderId="14" xfId="4" applyNumberFormat="1" applyFont="1" applyFill="1" applyBorder="1" applyAlignment="1">
      <alignment horizontal="center" vertical="center"/>
    </xf>
    <xf numFmtId="178" fontId="17" fillId="6" borderId="15" xfId="4" applyNumberFormat="1" applyFont="1" applyFill="1" applyBorder="1" applyAlignment="1">
      <alignment horizontal="center" vertical="center"/>
    </xf>
    <xf numFmtId="0" fontId="20" fillId="0" borderId="18" xfId="4" applyNumberFormat="1" applyFont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9" fillId="2" borderId="4" xfId="3" applyFont="1" applyFill="1" applyBorder="1" applyAlignment="1">
      <alignment horizontal="center" vertical="center" wrapText="1"/>
    </xf>
    <xf numFmtId="0" fontId="9" fillId="2" borderId="7" xfId="3" applyFont="1" applyFill="1" applyBorder="1" applyAlignment="1">
      <alignment horizontal="center" vertical="center" wrapText="1"/>
    </xf>
    <xf numFmtId="0" fontId="9" fillId="4" borderId="5" xfId="3" applyFont="1" applyFill="1" applyBorder="1" applyAlignment="1">
      <alignment horizontal="center" vertical="center"/>
    </xf>
    <xf numFmtId="0" fontId="9" fillId="4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/>
    </xf>
    <xf numFmtId="0" fontId="9" fillId="5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 wrapText="1"/>
    </xf>
    <xf numFmtId="0" fontId="9" fillId="5" borderId="6" xfId="3" applyFont="1" applyFill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/>
    </xf>
  </cellXfs>
  <cellStyles count="6">
    <cellStyle name="백분율" xfId="2" builtinId="5"/>
    <cellStyle name="백분율 2" xfId="5" xr:uid="{AF9F9733-1FB6-458A-9170-B844D82421AB}"/>
    <cellStyle name="쉼표 [0]" xfId="1" builtinId="6"/>
    <cellStyle name="쉼표 [0] 2" xfId="4" xr:uid="{6DEF4736-A82D-46F1-8C83-6BBDFF8F7CE0}"/>
    <cellStyle name="표준" xfId="0" builtinId="0"/>
    <cellStyle name="표준 2" xfId="3" xr:uid="{93B18076-440F-4C22-8412-54942F784DA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0AA3-7847-43FF-850D-8AA0BAEE724E}">
  <sheetPr>
    <pageSetUpPr fitToPage="1"/>
  </sheetPr>
  <dimension ref="A1:O246"/>
  <sheetViews>
    <sheetView showGridLines="0" tabSelected="1" zoomScale="90" zoomScaleNormal="90" workbookViewId="0">
      <pane ySplit="3" topLeftCell="A55" activePane="bottomLeft" state="frozen"/>
      <selection pane="bottomLeft" activeCell="C255" sqref="C255"/>
    </sheetView>
  </sheetViews>
  <sheetFormatPr defaultRowHeight="13" x14ac:dyDescent="0.3"/>
  <cols>
    <col min="1" max="1" width="1.9140625" style="1" customWidth="1"/>
    <col min="2" max="2" width="27.6640625" style="16" customWidth="1"/>
    <col min="3" max="3" width="12.25" style="17" customWidth="1"/>
    <col min="4" max="4" width="8.6640625" style="17"/>
    <col min="5" max="5" width="10.33203125" style="18" customWidth="1"/>
    <col min="6" max="6" width="9.58203125" style="19" customWidth="1"/>
    <col min="7" max="7" width="9.58203125" style="18" customWidth="1"/>
    <col min="8" max="8" width="8.33203125" style="20" customWidth="1"/>
    <col min="9" max="9" width="13.08203125" style="16" bestFit="1" customWidth="1"/>
    <col min="10" max="10" width="10.75" style="16" customWidth="1"/>
    <col min="11" max="11" width="10.9140625" style="16" customWidth="1"/>
    <col min="12" max="12" width="13.9140625" style="25" customWidth="1"/>
    <col min="13" max="13" width="11.58203125" style="16" customWidth="1"/>
    <col min="14" max="14" width="8.6640625" style="26"/>
    <col min="15" max="15" width="10.75" style="27" customWidth="1"/>
    <col min="16" max="16" width="8.9140625" style="1" customWidth="1"/>
    <col min="17" max="16384" width="8.6640625" style="1"/>
  </cols>
  <sheetData>
    <row r="1" spans="1:15" x14ac:dyDescent="0.3">
      <c r="B1" s="1"/>
      <c r="C1" s="2"/>
      <c r="D1" s="2"/>
      <c r="E1" s="3"/>
      <c r="F1" s="2"/>
      <c r="G1" s="3"/>
      <c r="H1" s="4"/>
      <c r="I1" s="5"/>
      <c r="J1" s="5"/>
      <c r="K1" s="5"/>
      <c r="L1" s="5"/>
      <c r="M1" s="5"/>
      <c r="N1" s="6"/>
      <c r="O1" s="7"/>
    </row>
    <row r="2" spans="1:15" ht="26" customHeight="1" x14ac:dyDescent="0.3">
      <c r="B2" s="78" t="s">
        <v>494</v>
      </c>
      <c r="C2" s="79"/>
      <c r="D2" s="79"/>
      <c r="E2" s="79"/>
      <c r="F2" s="79"/>
      <c r="G2" s="79"/>
      <c r="H2" s="80"/>
      <c r="I2" s="81" t="s">
        <v>495</v>
      </c>
      <c r="J2" s="82"/>
      <c r="K2" s="82"/>
      <c r="L2" s="82"/>
      <c r="M2" s="83"/>
      <c r="N2" s="84" t="s">
        <v>496</v>
      </c>
      <c r="O2" s="85"/>
    </row>
    <row r="3" spans="1:15" s="2" customFormat="1" ht="32" x14ac:dyDescent="0.3">
      <c r="A3" s="8"/>
      <c r="B3" s="9" t="s">
        <v>497</v>
      </c>
      <c r="C3" s="9" t="s">
        <v>498</v>
      </c>
      <c r="D3" s="9" t="s">
        <v>499</v>
      </c>
      <c r="E3" s="62" t="s">
        <v>500</v>
      </c>
      <c r="F3" s="10" t="s">
        <v>501</v>
      </c>
      <c r="G3" s="63" t="s">
        <v>502</v>
      </c>
      <c r="H3" s="64" t="s">
        <v>519</v>
      </c>
      <c r="I3" s="11" t="s">
        <v>503</v>
      </c>
      <c r="J3" s="11" t="s">
        <v>504</v>
      </c>
      <c r="K3" s="11" t="s">
        <v>505</v>
      </c>
      <c r="L3" s="12" t="s">
        <v>506</v>
      </c>
      <c r="M3" s="13" t="s">
        <v>507</v>
      </c>
      <c r="N3" s="14" t="s">
        <v>508</v>
      </c>
      <c r="O3" s="15" t="s">
        <v>509</v>
      </c>
    </row>
    <row r="4" spans="1:15" x14ac:dyDescent="0.3">
      <c r="B4" s="16" t="s">
        <v>1</v>
      </c>
      <c r="C4" s="17" t="s">
        <v>2</v>
      </c>
      <c r="D4" s="17" t="s">
        <v>3</v>
      </c>
      <c r="E4" s="18">
        <v>45707</v>
      </c>
      <c r="F4" s="19">
        <v>2</v>
      </c>
      <c r="G4" s="94">
        <f>EDATE(E4,15)</f>
        <v>46161</v>
      </c>
      <c r="H4" s="20">
        <v>1</v>
      </c>
      <c r="I4" s="21">
        <v>4512740.8000000156</v>
      </c>
      <c r="J4" s="21">
        <v>14755</v>
      </c>
      <c r="K4" s="21">
        <v>13003</v>
      </c>
      <c r="L4" s="21">
        <v>5100000</v>
      </c>
      <c r="M4" s="21">
        <v>5100000</v>
      </c>
      <c r="N4" s="22">
        <f t="shared" ref="N4:N67" si="0">IFERROR(L4/I4,"")</f>
        <v>1.1301335986325609</v>
      </c>
      <c r="O4" s="22">
        <f t="shared" ref="O4:O67" si="1">IF(D4="a",K4/25000,IF(D4="b",K4/15000,IF(D4="c",K4/5000)))/H4</f>
        <v>2.6006</v>
      </c>
    </row>
    <row r="5" spans="1:15" x14ac:dyDescent="0.3">
      <c r="B5" s="16" t="s">
        <v>38</v>
      </c>
      <c r="C5" s="17" t="s">
        <v>13</v>
      </c>
      <c r="D5" s="17" t="s">
        <v>10</v>
      </c>
      <c r="E5" s="18">
        <v>45741</v>
      </c>
      <c r="F5" s="19">
        <v>3</v>
      </c>
      <c r="G5" s="18">
        <v>46266</v>
      </c>
      <c r="H5" s="20">
        <v>2</v>
      </c>
      <c r="I5" s="21">
        <v>41232038.309999987</v>
      </c>
      <c r="J5" s="21">
        <v>132413</v>
      </c>
      <c r="K5" s="21">
        <v>122205</v>
      </c>
      <c r="L5" s="21">
        <v>39493209.960000001</v>
      </c>
      <c r="M5" s="21">
        <v>46800000</v>
      </c>
      <c r="N5" s="22">
        <f t="shared" si="0"/>
        <v>0.95782822239039611</v>
      </c>
      <c r="O5" s="22">
        <f t="shared" si="1"/>
        <v>2.4441000000000002</v>
      </c>
    </row>
    <row r="6" spans="1:15" x14ac:dyDescent="0.3">
      <c r="B6" s="16" t="s">
        <v>147</v>
      </c>
      <c r="C6" s="17" t="s">
        <v>9</v>
      </c>
      <c r="D6" s="17" t="s">
        <v>3</v>
      </c>
      <c r="E6" s="18">
        <v>45771</v>
      </c>
      <c r="F6" s="19">
        <v>4</v>
      </c>
      <c r="G6" s="94">
        <f t="shared" ref="G6:G9" si="2">EDATE(E6,15)</f>
        <v>46227</v>
      </c>
      <c r="H6" s="20">
        <v>1</v>
      </c>
      <c r="I6" s="21">
        <v>3759933.149999985</v>
      </c>
      <c r="J6" s="21">
        <v>9289</v>
      </c>
      <c r="K6" s="21">
        <v>9231</v>
      </c>
      <c r="L6" s="21">
        <v>2154041.5699999998</v>
      </c>
      <c r="M6" s="21">
        <v>6000000</v>
      </c>
      <c r="N6" s="22">
        <f t="shared" si="0"/>
        <v>0.57289358189786121</v>
      </c>
      <c r="O6" s="22">
        <f t="shared" si="1"/>
        <v>1.8462000000000001</v>
      </c>
    </row>
    <row r="7" spans="1:15" x14ac:dyDescent="0.3">
      <c r="B7" s="16" t="s">
        <v>5</v>
      </c>
      <c r="C7" s="17" t="s">
        <v>6</v>
      </c>
      <c r="D7" s="17" t="s">
        <v>3</v>
      </c>
      <c r="E7" s="18">
        <v>45709</v>
      </c>
      <c r="F7" s="19">
        <v>2</v>
      </c>
      <c r="G7" s="94">
        <f t="shared" si="2"/>
        <v>46163</v>
      </c>
      <c r="H7" s="20">
        <v>1</v>
      </c>
      <c r="I7" s="21">
        <v>3117653.7099999972</v>
      </c>
      <c r="J7" s="21">
        <v>9893</v>
      </c>
      <c r="K7" s="21">
        <v>8823</v>
      </c>
      <c r="L7" s="21">
        <v>3522947.6100000003</v>
      </c>
      <c r="M7" s="21">
        <v>3522947.61</v>
      </c>
      <c r="N7" s="22">
        <f t="shared" si="0"/>
        <v>1.1299996528479115</v>
      </c>
      <c r="O7" s="22">
        <f t="shared" si="1"/>
        <v>1.7645999999999999</v>
      </c>
    </row>
    <row r="8" spans="1:15" x14ac:dyDescent="0.3">
      <c r="B8" s="16" t="s">
        <v>302</v>
      </c>
      <c r="C8" s="17" t="s">
        <v>9</v>
      </c>
      <c r="D8" s="17" t="s">
        <v>3</v>
      </c>
      <c r="E8" s="18">
        <v>45812</v>
      </c>
      <c r="F8" s="19">
        <v>6</v>
      </c>
      <c r="G8" s="94">
        <f t="shared" si="2"/>
        <v>46269</v>
      </c>
      <c r="H8" s="20">
        <v>1</v>
      </c>
      <c r="I8" s="21">
        <v>3365188.8500000094</v>
      </c>
      <c r="J8" s="21">
        <v>9853</v>
      </c>
      <c r="K8" s="21">
        <v>8521</v>
      </c>
      <c r="L8" s="21">
        <v>3802659.8599999994</v>
      </c>
      <c r="M8" s="21">
        <v>3802659.7899999996</v>
      </c>
      <c r="N8" s="22">
        <f t="shared" si="0"/>
        <v>1.1299989479045103</v>
      </c>
      <c r="O8" s="22">
        <f t="shared" si="1"/>
        <v>1.7041999999999999</v>
      </c>
    </row>
    <row r="9" spans="1:15" x14ac:dyDescent="0.3">
      <c r="B9" s="16" t="s">
        <v>157</v>
      </c>
      <c r="C9" s="17" t="s">
        <v>16</v>
      </c>
      <c r="D9" s="17" t="s">
        <v>3</v>
      </c>
      <c r="E9" s="18">
        <v>45777</v>
      </c>
      <c r="F9" s="19">
        <v>4</v>
      </c>
      <c r="G9" s="94">
        <f t="shared" si="2"/>
        <v>46233</v>
      </c>
      <c r="H9" s="20">
        <v>1</v>
      </c>
      <c r="I9" s="21">
        <v>2620841.67</v>
      </c>
      <c r="J9" s="21">
        <v>8667</v>
      </c>
      <c r="K9" s="21">
        <v>7907</v>
      </c>
      <c r="L9" s="21">
        <v>2878634.49</v>
      </c>
      <c r="M9" s="21">
        <v>6000000</v>
      </c>
      <c r="N9" s="22">
        <f t="shared" si="0"/>
        <v>1.0983626073069879</v>
      </c>
      <c r="O9" s="22">
        <f t="shared" si="1"/>
        <v>1.5813999999999999</v>
      </c>
    </row>
    <row r="10" spans="1:15" x14ac:dyDescent="0.3">
      <c r="B10" s="16" t="s">
        <v>149</v>
      </c>
      <c r="C10" s="17" t="s">
        <v>9</v>
      </c>
      <c r="D10" s="17" t="s">
        <v>3</v>
      </c>
      <c r="E10" s="18">
        <v>45770</v>
      </c>
      <c r="F10" s="19">
        <v>4</v>
      </c>
      <c r="G10" s="18">
        <v>46499</v>
      </c>
      <c r="H10" s="20">
        <v>2</v>
      </c>
      <c r="I10" s="21">
        <v>5310012.9100000076</v>
      </c>
      <c r="J10" s="21">
        <v>17204</v>
      </c>
      <c r="K10" s="21">
        <v>15358</v>
      </c>
      <c r="L10" s="21">
        <v>6000000</v>
      </c>
      <c r="M10" s="21">
        <v>6000000</v>
      </c>
      <c r="N10" s="22">
        <f t="shared" si="0"/>
        <v>1.1299407556430954</v>
      </c>
      <c r="O10" s="22">
        <f t="shared" si="1"/>
        <v>1.5358000000000001</v>
      </c>
    </row>
    <row r="11" spans="1:15" x14ac:dyDescent="0.3">
      <c r="B11" s="16" t="s">
        <v>41</v>
      </c>
      <c r="C11" s="17" t="s">
        <v>42</v>
      </c>
      <c r="D11" s="17" t="s">
        <v>3</v>
      </c>
      <c r="E11" s="18">
        <v>45743</v>
      </c>
      <c r="F11" s="19">
        <v>3</v>
      </c>
      <c r="G11" s="94">
        <f t="shared" ref="G11:G14" si="3">EDATE(E11,15)</f>
        <v>46200</v>
      </c>
      <c r="H11" s="20">
        <v>1</v>
      </c>
      <c r="I11" s="21">
        <v>2655021.6899999985</v>
      </c>
      <c r="J11" s="21">
        <v>8503</v>
      </c>
      <c r="K11" s="21">
        <v>7661</v>
      </c>
      <c r="L11" s="21">
        <v>3000000</v>
      </c>
      <c r="M11" s="21">
        <v>3000000</v>
      </c>
      <c r="N11" s="22">
        <f t="shared" si="0"/>
        <v>1.1299342718364014</v>
      </c>
      <c r="O11" s="22">
        <f t="shared" si="1"/>
        <v>1.5322</v>
      </c>
    </row>
    <row r="12" spans="1:15" x14ac:dyDescent="0.3">
      <c r="B12" s="16" t="s">
        <v>44</v>
      </c>
      <c r="C12" s="17" t="s">
        <v>42</v>
      </c>
      <c r="D12" s="17" t="s">
        <v>3</v>
      </c>
      <c r="E12" s="18">
        <v>45728</v>
      </c>
      <c r="F12" s="19">
        <v>3</v>
      </c>
      <c r="G12" s="94">
        <f t="shared" si="3"/>
        <v>46185</v>
      </c>
      <c r="H12" s="20">
        <v>1</v>
      </c>
      <c r="I12" s="21">
        <v>2654867.6200000127</v>
      </c>
      <c r="J12" s="21">
        <v>8719</v>
      </c>
      <c r="K12" s="21">
        <v>7611</v>
      </c>
      <c r="L12" s="21">
        <v>3000000</v>
      </c>
      <c r="M12" s="21">
        <v>3000000</v>
      </c>
      <c r="N12" s="22">
        <f t="shared" si="0"/>
        <v>1.1299998453406825</v>
      </c>
      <c r="O12" s="22">
        <f t="shared" si="1"/>
        <v>1.5222</v>
      </c>
    </row>
    <row r="13" spans="1:15" x14ac:dyDescent="0.3">
      <c r="B13" s="16" t="s">
        <v>46</v>
      </c>
      <c r="C13" s="17" t="s">
        <v>9</v>
      </c>
      <c r="D13" s="17" t="s">
        <v>3</v>
      </c>
      <c r="E13" s="18">
        <v>45741</v>
      </c>
      <c r="F13" s="19">
        <v>3</v>
      </c>
      <c r="G13" s="94">
        <f t="shared" si="3"/>
        <v>46198</v>
      </c>
      <c r="H13" s="20">
        <v>1</v>
      </c>
      <c r="I13" s="21">
        <v>2608094.6399999908</v>
      </c>
      <c r="J13" s="21">
        <v>8298</v>
      </c>
      <c r="K13" s="21">
        <v>7411</v>
      </c>
      <c r="L13" s="21">
        <v>2947145.8299999996</v>
      </c>
      <c r="M13" s="21">
        <v>3000000</v>
      </c>
      <c r="N13" s="22">
        <f t="shared" si="0"/>
        <v>1.1299995731750019</v>
      </c>
      <c r="O13" s="22">
        <f t="shared" si="1"/>
        <v>1.4822</v>
      </c>
    </row>
    <row r="14" spans="1:15" x14ac:dyDescent="0.3">
      <c r="B14" s="16" t="s">
        <v>231</v>
      </c>
      <c r="C14" s="17" t="s">
        <v>13</v>
      </c>
      <c r="D14" s="17" t="s">
        <v>3</v>
      </c>
      <c r="E14" s="18">
        <v>45806</v>
      </c>
      <c r="F14" s="19">
        <v>5</v>
      </c>
      <c r="G14" s="94">
        <f t="shared" si="3"/>
        <v>46263</v>
      </c>
      <c r="H14" s="20">
        <v>1</v>
      </c>
      <c r="I14" s="21">
        <v>2421905.1400000025</v>
      </c>
      <c r="J14" s="21">
        <v>7542</v>
      </c>
      <c r="K14" s="21">
        <v>7164</v>
      </c>
      <c r="L14" s="21">
        <v>2184503.2999999998</v>
      </c>
      <c r="M14" s="21">
        <v>3100000</v>
      </c>
      <c r="N14" s="22">
        <f t="shared" si="0"/>
        <v>0.90197723433544452</v>
      </c>
      <c r="O14" s="22">
        <f t="shared" si="1"/>
        <v>1.4328000000000001</v>
      </c>
    </row>
    <row r="15" spans="1:15" x14ac:dyDescent="0.3">
      <c r="B15" s="16" t="s">
        <v>8</v>
      </c>
      <c r="C15" s="17" t="s">
        <v>9</v>
      </c>
      <c r="D15" s="17" t="s">
        <v>10</v>
      </c>
      <c r="E15" s="18">
        <v>45712</v>
      </c>
      <c r="F15" s="19">
        <v>2</v>
      </c>
      <c r="G15" s="18">
        <v>46445</v>
      </c>
      <c r="H15" s="20">
        <v>2</v>
      </c>
      <c r="I15" s="21">
        <v>25058402.500000045</v>
      </c>
      <c r="J15" s="21">
        <v>84280</v>
      </c>
      <c r="K15" s="21">
        <v>70712</v>
      </c>
      <c r="L15" s="21">
        <v>27368327.840000004</v>
      </c>
      <c r="M15" s="21">
        <v>33530000</v>
      </c>
      <c r="N15" s="22">
        <f t="shared" si="0"/>
        <v>1.0921816680053709</v>
      </c>
      <c r="O15" s="22">
        <f t="shared" si="1"/>
        <v>1.4142399999999999</v>
      </c>
    </row>
    <row r="16" spans="1:15" x14ac:dyDescent="0.3">
      <c r="B16" s="16" t="s">
        <v>31</v>
      </c>
      <c r="C16" s="17" t="s">
        <v>9</v>
      </c>
      <c r="D16" s="17" t="s">
        <v>3</v>
      </c>
      <c r="E16" s="18">
        <v>45712</v>
      </c>
      <c r="F16" s="19">
        <v>2</v>
      </c>
      <c r="G16" s="94">
        <f t="shared" ref="G16:G25" si="4">EDATE(E16,15)</f>
        <v>46166</v>
      </c>
      <c r="H16" s="20">
        <v>1</v>
      </c>
      <c r="I16" s="21">
        <v>2489852.7299999986</v>
      </c>
      <c r="J16" s="21">
        <v>7728</v>
      </c>
      <c r="K16" s="21">
        <v>7011</v>
      </c>
      <c r="L16" s="21">
        <v>2820241.62</v>
      </c>
      <c r="M16" s="21">
        <v>4200000</v>
      </c>
      <c r="N16" s="22">
        <f t="shared" si="0"/>
        <v>1.1326941493443277</v>
      </c>
      <c r="O16" s="22">
        <f t="shared" si="1"/>
        <v>1.4021999999999999</v>
      </c>
    </row>
    <row r="17" spans="2:15" x14ac:dyDescent="0.3">
      <c r="B17" s="16" t="s">
        <v>48</v>
      </c>
      <c r="C17" s="17" t="s">
        <v>9</v>
      </c>
      <c r="D17" s="17" t="s">
        <v>3</v>
      </c>
      <c r="E17" s="18">
        <v>45728</v>
      </c>
      <c r="F17" s="19">
        <v>3</v>
      </c>
      <c r="G17" s="94">
        <f t="shared" si="4"/>
        <v>46185</v>
      </c>
      <c r="H17" s="20">
        <v>1</v>
      </c>
      <c r="I17" s="21">
        <v>2417797.2100000014</v>
      </c>
      <c r="J17" s="21">
        <v>7495</v>
      </c>
      <c r="K17" s="21">
        <v>6942</v>
      </c>
      <c r="L17" s="21">
        <v>2736669.6399999997</v>
      </c>
      <c r="M17" s="21">
        <v>7423341.2999999998</v>
      </c>
      <c r="N17" s="22">
        <f t="shared" si="0"/>
        <v>1.1318855149146267</v>
      </c>
      <c r="O17" s="22">
        <f t="shared" si="1"/>
        <v>1.3884000000000001</v>
      </c>
    </row>
    <row r="18" spans="2:15" x14ac:dyDescent="0.3">
      <c r="B18" s="16" t="s">
        <v>159</v>
      </c>
      <c r="C18" s="17" t="s">
        <v>9</v>
      </c>
      <c r="D18" s="17" t="s">
        <v>3</v>
      </c>
      <c r="E18" s="18">
        <v>45765</v>
      </c>
      <c r="F18" s="19">
        <v>4</v>
      </c>
      <c r="G18" s="94">
        <f t="shared" si="4"/>
        <v>46221</v>
      </c>
      <c r="H18" s="20">
        <v>1</v>
      </c>
      <c r="I18" s="21">
        <v>2497843.3099999987</v>
      </c>
      <c r="J18" s="21">
        <v>7621</v>
      </c>
      <c r="K18" s="21">
        <v>6872</v>
      </c>
      <c r="L18" s="21">
        <v>2822562.0700000003</v>
      </c>
      <c r="M18" s="21">
        <v>3000000</v>
      </c>
      <c r="N18" s="22">
        <f t="shared" si="0"/>
        <v>1.1299996515794266</v>
      </c>
      <c r="O18" s="22">
        <f t="shared" si="1"/>
        <v>1.3744000000000001</v>
      </c>
    </row>
    <row r="19" spans="2:15" x14ac:dyDescent="0.3">
      <c r="B19" s="16" t="s">
        <v>161</v>
      </c>
      <c r="C19" s="17" t="s">
        <v>2</v>
      </c>
      <c r="D19" s="17" t="s">
        <v>3</v>
      </c>
      <c r="E19" s="18">
        <v>45770</v>
      </c>
      <c r="F19" s="19">
        <v>4</v>
      </c>
      <c r="G19" s="94">
        <f t="shared" si="4"/>
        <v>46226</v>
      </c>
      <c r="H19" s="20">
        <v>1</v>
      </c>
      <c r="I19" s="21">
        <v>2323710.9799999995</v>
      </c>
      <c r="J19" s="21">
        <v>7397</v>
      </c>
      <c r="K19" s="21">
        <v>6666</v>
      </c>
      <c r="L19" s="21">
        <v>2637962.08</v>
      </c>
      <c r="M19" s="21">
        <v>3060000</v>
      </c>
      <c r="N19" s="22">
        <f t="shared" si="0"/>
        <v>1.1352367410167337</v>
      </c>
      <c r="O19" s="22">
        <f t="shared" si="1"/>
        <v>1.3331999999999999</v>
      </c>
    </row>
    <row r="20" spans="2:15" x14ac:dyDescent="0.3">
      <c r="B20" s="16" t="s">
        <v>165</v>
      </c>
      <c r="C20" s="17" t="s">
        <v>2</v>
      </c>
      <c r="D20" s="17" t="s">
        <v>3</v>
      </c>
      <c r="E20" s="18">
        <v>45772</v>
      </c>
      <c r="F20" s="19">
        <v>4</v>
      </c>
      <c r="G20" s="94">
        <f t="shared" si="4"/>
        <v>46228</v>
      </c>
      <c r="H20" s="20">
        <v>1</v>
      </c>
      <c r="I20" s="21">
        <v>2528168.1000000043</v>
      </c>
      <c r="J20" s="21">
        <v>6941</v>
      </c>
      <c r="K20" s="21">
        <v>6499</v>
      </c>
      <c r="L20" s="21">
        <v>2776337.11</v>
      </c>
      <c r="M20" s="21">
        <v>2861370.75</v>
      </c>
      <c r="N20" s="22">
        <f t="shared" si="0"/>
        <v>1.0981615937642735</v>
      </c>
      <c r="O20" s="22">
        <f t="shared" si="1"/>
        <v>1.2998000000000001</v>
      </c>
    </row>
    <row r="21" spans="2:15" x14ac:dyDescent="0.3">
      <c r="B21" s="16" t="s">
        <v>15</v>
      </c>
      <c r="C21" s="17" t="s">
        <v>16</v>
      </c>
      <c r="D21" s="17" t="s">
        <v>17</v>
      </c>
      <c r="E21" s="18">
        <v>45709</v>
      </c>
      <c r="F21" s="19">
        <v>2</v>
      </c>
      <c r="G21" s="94">
        <f t="shared" si="4"/>
        <v>46163</v>
      </c>
      <c r="H21" s="20">
        <v>1</v>
      </c>
      <c r="I21" s="21">
        <v>7835003.7499999963</v>
      </c>
      <c r="J21" s="21">
        <v>20768</v>
      </c>
      <c r="K21" s="21">
        <v>18857</v>
      </c>
      <c r="L21" s="21">
        <v>8046095.3899999997</v>
      </c>
      <c r="M21" s="21">
        <v>12800000</v>
      </c>
      <c r="N21" s="22">
        <f t="shared" si="0"/>
        <v>1.0269421236716068</v>
      </c>
      <c r="O21" s="22">
        <f t="shared" si="1"/>
        <v>1.2571333333333334</v>
      </c>
    </row>
    <row r="22" spans="2:15" x14ac:dyDescent="0.3">
      <c r="B22" s="16" t="s">
        <v>12</v>
      </c>
      <c r="C22" s="17" t="s">
        <v>13</v>
      </c>
      <c r="D22" s="17" t="s">
        <v>3</v>
      </c>
      <c r="E22" s="18">
        <v>45706</v>
      </c>
      <c r="F22" s="19">
        <v>2</v>
      </c>
      <c r="G22" s="94">
        <f t="shared" si="4"/>
        <v>46160</v>
      </c>
      <c r="H22" s="20">
        <v>1</v>
      </c>
      <c r="I22" s="21">
        <v>2428924.0299999979</v>
      </c>
      <c r="J22" s="21">
        <v>6897</v>
      </c>
      <c r="K22" s="21">
        <v>6227</v>
      </c>
      <c r="L22" s="21">
        <v>2749093.4500000007</v>
      </c>
      <c r="M22" s="21">
        <v>2743130.3400000003</v>
      </c>
      <c r="N22" s="22">
        <f t="shared" si="0"/>
        <v>1.131815328946292</v>
      </c>
      <c r="O22" s="22">
        <f t="shared" si="1"/>
        <v>1.2454000000000001</v>
      </c>
    </row>
    <row r="23" spans="2:15" x14ac:dyDescent="0.3">
      <c r="B23" s="16" t="s">
        <v>308</v>
      </c>
      <c r="C23" s="17" t="s">
        <v>13</v>
      </c>
      <c r="D23" s="17" t="s">
        <v>3</v>
      </c>
      <c r="E23" s="18">
        <v>45835</v>
      </c>
      <c r="F23" s="19">
        <v>6</v>
      </c>
      <c r="G23" s="94">
        <f t="shared" si="4"/>
        <v>46292</v>
      </c>
      <c r="H23" s="20">
        <v>1</v>
      </c>
      <c r="I23" s="21">
        <v>2336699.2200000086</v>
      </c>
      <c r="J23" s="21">
        <v>6208</v>
      </c>
      <c r="K23" s="21">
        <v>6196</v>
      </c>
      <c r="L23" s="21">
        <v>2532678.1300000004</v>
      </c>
      <c r="M23" s="21">
        <v>3000000</v>
      </c>
      <c r="N23" s="22">
        <f t="shared" si="0"/>
        <v>1.0838699770696165</v>
      </c>
      <c r="O23" s="22">
        <f t="shared" si="1"/>
        <v>1.2392000000000001</v>
      </c>
    </row>
    <row r="24" spans="2:15" x14ac:dyDescent="0.3">
      <c r="B24" s="16" t="s">
        <v>306</v>
      </c>
      <c r="C24" s="17" t="s">
        <v>13</v>
      </c>
      <c r="D24" s="17" t="s">
        <v>3</v>
      </c>
      <c r="E24" s="18">
        <v>45813</v>
      </c>
      <c r="F24" s="19">
        <v>6</v>
      </c>
      <c r="G24" s="94">
        <f t="shared" si="4"/>
        <v>46270</v>
      </c>
      <c r="H24" s="20">
        <v>1</v>
      </c>
      <c r="I24" s="21">
        <v>2032990.7399999998</v>
      </c>
      <c r="J24" s="21">
        <v>6193</v>
      </c>
      <c r="K24" s="21">
        <v>6193</v>
      </c>
      <c r="L24" s="21">
        <v>2146062.27</v>
      </c>
      <c r="M24" s="21">
        <v>2296940.4600000004</v>
      </c>
      <c r="N24" s="22">
        <f t="shared" si="0"/>
        <v>1.0556183202290437</v>
      </c>
      <c r="O24" s="22">
        <f t="shared" si="1"/>
        <v>1.2385999999999999</v>
      </c>
    </row>
    <row r="25" spans="2:15" x14ac:dyDescent="0.3">
      <c r="B25" s="16" t="s">
        <v>347</v>
      </c>
      <c r="C25" s="17" t="s">
        <v>6</v>
      </c>
      <c r="D25" s="17" t="s">
        <v>3</v>
      </c>
      <c r="E25" s="18">
        <v>45839</v>
      </c>
      <c r="F25" s="19">
        <v>7</v>
      </c>
      <c r="G25" s="94">
        <f t="shared" si="4"/>
        <v>46296</v>
      </c>
      <c r="H25" s="20">
        <v>1</v>
      </c>
      <c r="I25" s="21">
        <v>2212324.1599999885</v>
      </c>
      <c r="J25" s="21">
        <v>6516</v>
      </c>
      <c r="K25" s="21">
        <v>6166</v>
      </c>
      <c r="L25" s="21">
        <v>2333139.4900000002</v>
      </c>
      <c r="M25" s="21">
        <v>6027368.6200000001</v>
      </c>
      <c r="N25" s="22">
        <f t="shared" si="0"/>
        <v>1.0546101390494296</v>
      </c>
      <c r="O25" s="22">
        <f t="shared" si="1"/>
        <v>1.2332000000000001</v>
      </c>
    </row>
    <row r="26" spans="2:15" x14ac:dyDescent="0.3">
      <c r="B26" s="16" t="s">
        <v>24</v>
      </c>
      <c r="C26" s="17" t="s">
        <v>16</v>
      </c>
      <c r="D26" s="17" t="s">
        <v>3</v>
      </c>
      <c r="E26" s="18">
        <v>45709</v>
      </c>
      <c r="F26" s="19">
        <v>2</v>
      </c>
      <c r="G26" s="18">
        <v>46309</v>
      </c>
      <c r="H26" s="20">
        <v>2</v>
      </c>
      <c r="I26" s="21">
        <v>5675413.859999991</v>
      </c>
      <c r="J26" s="21">
        <v>12121</v>
      </c>
      <c r="K26" s="21">
        <v>12089</v>
      </c>
      <c r="L26" s="21">
        <v>5874927.9500000002</v>
      </c>
      <c r="M26" s="21">
        <v>10800000</v>
      </c>
      <c r="N26" s="22">
        <f t="shared" si="0"/>
        <v>1.035154104162548</v>
      </c>
      <c r="O26" s="22">
        <f t="shared" si="1"/>
        <v>1.2089000000000001</v>
      </c>
    </row>
    <row r="27" spans="2:15" x14ac:dyDescent="0.3">
      <c r="B27" s="16" t="s">
        <v>233</v>
      </c>
      <c r="C27" s="17" t="s">
        <v>9</v>
      </c>
      <c r="D27" s="17" t="s">
        <v>3</v>
      </c>
      <c r="E27" s="18">
        <v>45806</v>
      </c>
      <c r="F27" s="19">
        <v>5</v>
      </c>
      <c r="G27" s="94">
        <f t="shared" ref="G27:G28" si="5">EDATE(E27,15)</f>
        <v>46263</v>
      </c>
      <c r="H27" s="20">
        <v>1</v>
      </c>
      <c r="I27" s="21">
        <v>2047827.3600000057</v>
      </c>
      <c r="J27" s="21">
        <v>6543</v>
      </c>
      <c r="K27" s="21">
        <v>5992</v>
      </c>
      <c r="L27" s="21">
        <v>2314044.63</v>
      </c>
      <c r="M27" s="21">
        <v>3000000</v>
      </c>
      <c r="N27" s="22">
        <f t="shared" si="0"/>
        <v>1.1299998599491285</v>
      </c>
      <c r="O27" s="22">
        <f t="shared" si="1"/>
        <v>1.1983999999999999</v>
      </c>
    </row>
    <row r="28" spans="2:15" x14ac:dyDescent="0.3">
      <c r="B28" s="16" t="s">
        <v>50</v>
      </c>
      <c r="C28" s="17" t="s">
        <v>13</v>
      </c>
      <c r="D28" s="17" t="s">
        <v>3</v>
      </c>
      <c r="E28" s="18">
        <v>45730</v>
      </c>
      <c r="F28" s="19">
        <v>3</v>
      </c>
      <c r="G28" s="94">
        <f t="shared" si="5"/>
        <v>46187</v>
      </c>
      <c r="H28" s="20">
        <v>1</v>
      </c>
      <c r="I28" s="21">
        <v>1920601.27</v>
      </c>
      <c r="J28" s="21">
        <v>6442</v>
      </c>
      <c r="K28" s="21">
        <v>5803</v>
      </c>
      <c r="L28" s="21">
        <v>2170278.75</v>
      </c>
      <c r="M28" s="21">
        <v>2170278.75</v>
      </c>
      <c r="N28" s="22">
        <f t="shared" si="0"/>
        <v>1.1299996432887915</v>
      </c>
      <c r="O28" s="22">
        <f t="shared" si="1"/>
        <v>1.1606000000000001</v>
      </c>
    </row>
    <row r="29" spans="2:15" x14ac:dyDescent="0.3">
      <c r="B29" s="16" t="s">
        <v>22</v>
      </c>
      <c r="C29" s="17" t="s">
        <v>6</v>
      </c>
      <c r="D29" s="17" t="s">
        <v>10</v>
      </c>
      <c r="E29" s="18">
        <v>45707</v>
      </c>
      <c r="F29" s="19">
        <v>2</v>
      </c>
      <c r="G29" s="18">
        <v>46456</v>
      </c>
      <c r="H29" s="20">
        <v>4</v>
      </c>
      <c r="I29" s="21">
        <v>40548572.069999568</v>
      </c>
      <c r="J29" s="21">
        <v>141134</v>
      </c>
      <c r="K29" s="21">
        <v>115551</v>
      </c>
      <c r="L29" s="21">
        <v>44036475.630000003</v>
      </c>
      <c r="M29" s="21">
        <v>55000000</v>
      </c>
      <c r="N29" s="22">
        <f t="shared" si="0"/>
        <v>1.086017913380013</v>
      </c>
      <c r="O29" s="22">
        <f t="shared" si="1"/>
        <v>1.15551</v>
      </c>
    </row>
    <row r="30" spans="2:15" x14ac:dyDescent="0.3">
      <c r="B30" s="16" t="s">
        <v>58</v>
      </c>
      <c r="C30" s="17" t="s">
        <v>2</v>
      </c>
      <c r="D30" s="17" t="s">
        <v>10</v>
      </c>
      <c r="E30" s="18">
        <v>45730</v>
      </c>
      <c r="F30" s="19">
        <v>3</v>
      </c>
      <c r="G30" s="94">
        <f t="shared" ref="G30:G34" si="6">EDATE(E30,15)</f>
        <v>46187</v>
      </c>
      <c r="H30" s="20">
        <v>1</v>
      </c>
      <c r="I30" s="21">
        <v>10183786.389999984</v>
      </c>
      <c r="J30" s="21">
        <v>35689</v>
      </c>
      <c r="K30" s="21">
        <v>28781</v>
      </c>
      <c r="L30" s="21">
        <v>10620708.18</v>
      </c>
      <c r="M30" s="21">
        <v>11506648.880000001</v>
      </c>
      <c r="N30" s="22">
        <f t="shared" si="0"/>
        <v>1.0429036679745221</v>
      </c>
      <c r="O30" s="22">
        <f t="shared" si="1"/>
        <v>1.15124</v>
      </c>
    </row>
    <row r="31" spans="2:15" x14ac:dyDescent="0.3">
      <c r="B31" s="16" t="s">
        <v>377</v>
      </c>
      <c r="C31" s="17" t="s">
        <v>6</v>
      </c>
      <c r="D31" s="17" t="s">
        <v>17</v>
      </c>
      <c r="E31" s="18">
        <v>45882</v>
      </c>
      <c r="F31" s="19">
        <v>8</v>
      </c>
      <c r="G31" s="94">
        <f t="shared" si="6"/>
        <v>46339</v>
      </c>
      <c r="H31" s="20">
        <v>1</v>
      </c>
      <c r="I31" s="21">
        <v>6148259.2200000277</v>
      </c>
      <c r="J31" s="21">
        <v>21369</v>
      </c>
      <c r="K31" s="21">
        <v>17183</v>
      </c>
      <c r="L31" s="21">
        <v>6947528.0999999996</v>
      </c>
      <c r="M31" s="21">
        <v>6947528.0999999996</v>
      </c>
      <c r="N31" s="22">
        <f t="shared" si="0"/>
        <v>1.1299992162659609</v>
      </c>
      <c r="O31" s="22">
        <f t="shared" si="1"/>
        <v>1.1455333333333333</v>
      </c>
    </row>
    <row r="32" spans="2:15" x14ac:dyDescent="0.3">
      <c r="B32" s="16" t="s">
        <v>304</v>
      </c>
      <c r="C32" s="17" t="s">
        <v>16</v>
      </c>
      <c r="D32" s="17" t="s">
        <v>3</v>
      </c>
      <c r="E32" s="18">
        <v>45828</v>
      </c>
      <c r="F32" s="19">
        <v>6</v>
      </c>
      <c r="G32" s="94">
        <f t="shared" si="6"/>
        <v>46285</v>
      </c>
      <c r="H32" s="20">
        <v>1</v>
      </c>
      <c r="I32" s="21">
        <v>1988133.1800000016</v>
      </c>
      <c r="J32" s="21">
        <v>6324</v>
      </c>
      <c r="K32" s="21">
        <v>5727</v>
      </c>
      <c r="L32" s="21">
        <v>2170442.34</v>
      </c>
      <c r="M32" s="21">
        <v>3000000</v>
      </c>
      <c r="N32" s="22">
        <f t="shared" si="0"/>
        <v>1.0916986657805279</v>
      </c>
      <c r="O32" s="22">
        <f t="shared" si="1"/>
        <v>1.1454</v>
      </c>
    </row>
    <row r="33" spans="2:15" x14ac:dyDescent="0.3">
      <c r="B33" s="16" t="s">
        <v>174</v>
      </c>
      <c r="C33" s="17" t="s">
        <v>6</v>
      </c>
      <c r="D33" s="17" t="s">
        <v>3</v>
      </c>
      <c r="E33" s="18">
        <v>45774</v>
      </c>
      <c r="F33" s="19">
        <v>4</v>
      </c>
      <c r="G33" s="94">
        <f t="shared" si="6"/>
        <v>46230</v>
      </c>
      <c r="H33" s="20">
        <v>1</v>
      </c>
      <c r="I33" s="21">
        <v>2107142.3000000035</v>
      </c>
      <c r="J33" s="21">
        <v>6383</v>
      </c>
      <c r="K33" s="21">
        <v>5703</v>
      </c>
      <c r="L33" s="21">
        <v>2261425.25</v>
      </c>
      <c r="M33" s="21">
        <v>3000000</v>
      </c>
      <c r="N33" s="22">
        <f t="shared" si="0"/>
        <v>1.0732190464782545</v>
      </c>
      <c r="O33" s="22">
        <f t="shared" si="1"/>
        <v>1.1406000000000001</v>
      </c>
    </row>
    <row r="34" spans="2:15" x14ac:dyDescent="0.3">
      <c r="B34" s="16" t="s">
        <v>178</v>
      </c>
      <c r="C34" s="17" t="s">
        <v>170</v>
      </c>
      <c r="D34" s="17" t="s">
        <v>3</v>
      </c>
      <c r="E34" s="18">
        <v>45771</v>
      </c>
      <c r="F34" s="19">
        <v>4</v>
      </c>
      <c r="G34" s="94">
        <f t="shared" si="6"/>
        <v>46227</v>
      </c>
      <c r="H34" s="20">
        <v>1</v>
      </c>
      <c r="I34" s="21">
        <v>2081041.6400000001</v>
      </c>
      <c r="J34" s="21">
        <v>6162</v>
      </c>
      <c r="K34" s="21">
        <v>5636</v>
      </c>
      <c r="L34" s="21">
        <v>2348175.64</v>
      </c>
      <c r="M34" s="21">
        <v>3600000</v>
      </c>
      <c r="N34" s="22">
        <f t="shared" si="0"/>
        <v>1.1283655237191699</v>
      </c>
      <c r="O34" s="22">
        <f t="shared" si="1"/>
        <v>1.1272</v>
      </c>
    </row>
    <row r="35" spans="2:15" x14ac:dyDescent="0.3">
      <c r="B35" s="16" t="s">
        <v>64</v>
      </c>
      <c r="C35" s="17" t="s">
        <v>6</v>
      </c>
      <c r="D35" s="17" t="s">
        <v>3</v>
      </c>
      <c r="E35" s="18">
        <v>45723</v>
      </c>
      <c r="F35" s="19">
        <v>3</v>
      </c>
      <c r="G35" s="18">
        <v>46273</v>
      </c>
      <c r="H35" s="20">
        <v>2</v>
      </c>
      <c r="I35" s="21">
        <v>4831200.4000000013</v>
      </c>
      <c r="J35" s="21">
        <v>11892</v>
      </c>
      <c r="K35" s="21">
        <v>11234</v>
      </c>
      <c r="L35" s="21">
        <v>5038947.41</v>
      </c>
      <c r="M35" s="21">
        <v>7000000</v>
      </c>
      <c r="N35" s="22">
        <f t="shared" si="0"/>
        <v>1.0430011162443187</v>
      </c>
      <c r="O35" s="22">
        <f t="shared" si="1"/>
        <v>1.1234</v>
      </c>
    </row>
    <row r="36" spans="2:15" x14ac:dyDescent="0.3">
      <c r="B36" s="16" t="s">
        <v>398</v>
      </c>
      <c r="C36" s="17" t="s">
        <v>13</v>
      </c>
      <c r="D36" s="17" t="s">
        <v>3</v>
      </c>
      <c r="E36" s="18">
        <v>45958</v>
      </c>
      <c r="F36" s="19">
        <v>10</v>
      </c>
      <c r="G36" s="94">
        <f t="shared" ref="G36:G37" si="7">EDATE(E36,15)</f>
        <v>46415</v>
      </c>
      <c r="H36" s="20">
        <v>1</v>
      </c>
      <c r="I36" s="24">
        <v>1929174.5099999995</v>
      </c>
      <c r="J36" s="24">
        <v>5893</v>
      </c>
      <c r="K36" s="24">
        <v>5592</v>
      </c>
      <c r="L36" s="21">
        <v>2040256.64</v>
      </c>
      <c r="M36" s="21">
        <v>3000000</v>
      </c>
      <c r="N36" s="22">
        <f t="shared" si="0"/>
        <v>1.0575801356612369</v>
      </c>
      <c r="O36" s="22">
        <f t="shared" si="1"/>
        <v>1.1184000000000001</v>
      </c>
    </row>
    <row r="37" spans="2:15" x14ac:dyDescent="0.3">
      <c r="B37" s="16" t="s">
        <v>169</v>
      </c>
      <c r="C37" s="17" t="s">
        <v>170</v>
      </c>
      <c r="D37" s="17" t="s">
        <v>3</v>
      </c>
      <c r="E37" s="18">
        <v>45750</v>
      </c>
      <c r="F37" s="19">
        <v>4</v>
      </c>
      <c r="G37" s="94">
        <f t="shared" si="7"/>
        <v>46206</v>
      </c>
      <c r="H37" s="20">
        <v>1</v>
      </c>
      <c r="I37" s="21">
        <v>1814738.9500000002</v>
      </c>
      <c r="J37" s="21">
        <v>5538</v>
      </c>
      <c r="K37" s="21">
        <v>5538</v>
      </c>
      <c r="L37" s="21">
        <v>1787429.16</v>
      </c>
      <c r="M37" s="21">
        <v>3900000</v>
      </c>
      <c r="N37" s="22">
        <f t="shared" si="0"/>
        <v>0.98495111927806456</v>
      </c>
      <c r="O37" s="22">
        <f t="shared" si="1"/>
        <v>1.1075999999999999</v>
      </c>
    </row>
    <row r="38" spans="2:15" x14ac:dyDescent="0.3">
      <c r="B38" s="16" t="s">
        <v>145</v>
      </c>
      <c r="C38" s="17" t="s">
        <v>13</v>
      </c>
      <c r="D38" s="17" t="s">
        <v>3</v>
      </c>
      <c r="E38" s="18">
        <v>45768</v>
      </c>
      <c r="F38" s="19">
        <v>4</v>
      </c>
      <c r="G38" s="18">
        <v>46492</v>
      </c>
      <c r="H38" s="20">
        <v>2</v>
      </c>
      <c r="I38" s="21">
        <v>3963264.639999995</v>
      </c>
      <c r="J38" s="21">
        <v>10993</v>
      </c>
      <c r="K38" s="21">
        <v>10993</v>
      </c>
      <c r="L38" s="21">
        <v>3880370.0399999991</v>
      </c>
      <c r="M38" s="21">
        <v>5788559.7699999996</v>
      </c>
      <c r="N38" s="22">
        <f t="shared" si="0"/>
        <v>0.97908426321993069</v>
      </c>
      <c r="O38" s="22">
        <f t="shared" si="1"/>
        <v>1.0992999999999999</v>
      </c>
    </row>
    <row r="39" spans="2:15" x14ac:dyDescent="0.3">
      <c r="B39" s="16" t="s">
        <v>39</v>
      </c>
      <c r="C39" s="17" t="s">
        <v>13</v>
      </c>
      <c r="D39" s="17" t="s">
        <v>3</v>
      </c>
      <c r="E39" s="18">
        <v>45741</v>
      </c>
      <c r="F39" s="19">
        <v>3</v>
      </c>
      <c r="G39" s="18">
        <v>46487</v>
      </c>
      <c r="H39" s="20">
        <v>2</v>
      </c>
      <c r="I39" s="21">
        <v>3623767.4800000037</v>
      </c>
      <c r="J39" s="21">
        <v>11214</v>
      </c>
      <c r="K39" s="21">
        <v>10850</v>
      </c>
      <c r="L39" s="21">
        <v>3990584.81</v>
      </c>
      <c r="M39" s="21">
        <v>4450000</v>
      </c>
      <c r="N39" s="22">
        <f t="shared" si="0"/>
        <v>1.1012254047823167</v>
      </c>
      <c r="O39" s="22">
        <f t="shared" si="1"/>
        <v>1.085</v>
      </c>
    </row>
    <row r="40" spans="2:15" x14ac:dyDescent="0.3">
      <c r="B40" s="16" t="s">
        <v>52</v>
      </c>
      <c r="C40" s="17" t="s">
        <v>6</v>
      </c>
      <c r="D40" s="17" t="s">
        <v>3</v>
      </c>
      <c r="E40" s="18">
        <v>45747</v>
      </c>
      <c r="F40" s="19">
        <v>3</v>
      </c>
      <c r="G40" s="94">
        <f>EDATE(E40,15)</f>
        <v>46203</v>
      </c>
      <c r="H40" s="20">
        <v>1</v>
      </c>
      <c r="I40" s="21">
        <v>1939106.2200000039</v>
      </c>
      <c r="J40" s="21">
        <v>6117</v>
      </c>
      <c r="K40" s="21">
        <v>5398</v>
      </c>
      <c r="L40" s="21">
        <v>2191187.81</v>
      </c>
      <c r="M40" s="21">
        <v>2191187.81</v>
      </c>
      <c r="N40" s="22">
        <f t="shared" si="0"/>
        <v>1.1299988558646341</v>
      </c>
      <c r="O40" s="22">
        <f t="shared" si="1"/>
        <v>1.0795999999999999</v>
      </c>
    </row>
    <row r="41" spans="2:15" x14ac:dyDescent="0.3">
      <c r="B41" s="16" t="s">
        <v>351</v>
      </c>
      <c r="C41" s="17" t="s">
        <v>13</v>
      </c>
      <c r="D41" s="17" t="s">
        <v>3</v>
      </c>
      <c r="E41" s="18">
        <v>45847</v>
      </c>
      <c r="F41" s="19">
        <v>7</v>
      </c>
      <c r="G41" s="18">
        <v>46423</v>
      </c>
      <c r="H41" s="20">
        <v>2</v>
      </c>
      <c r="I41" s="21">
        <v>3623310.5599999982</v>
      </c>
      <c r="J41" s="21">
        <v>11621</v>
      </c>
      <c r="K41" s="21">
        <v>10791</v>
      </c>
      <c r="L41" s="21">
        <v>3836120.95</v>
      </c>
      <c r="M41" s="21">
        <v>4700000</v>
      </c>
      <c r="N41" s="22">
        <f t="shared" si="0"/>
        <v>1.0587336874595707</v>
      </c>
      <c r="O41" s="22">
        <f t="shared" si="1"/>
        <v>1.0790999999999999</v>
      </c>
    </row>
    <row r="42" spans="2:15" x14ac:dyDescent="0.3">
      <c r="B42" s="16" t="s">
        <v>379</v>
      </c>
      <c r="C42" s="17" t="s">
        <v>9</v>
      </c>
      <c r="D42" s="17" t="s">
        <v>3</v>
      </c>
      <c r="E42" s="18">
        <v>45877</v>
      </c>
      <c r="F42" s="19">
        <v>8</v>
      </c>
      <c r="G42" s="94">
        <f t="shared" ref="G42:G50" si="8">EDATE(E42,15)</f>
        <v>46334</v>
      </c>
      <c r="H42" s="20">
        <v>1</v>
      </c>
      <c r="I42" s="21">
        <v>1772181.4600000007</v>
      </c>
      <c r="J42" s="21">
        <v>5915</v>
      </c>
      <c r="K42" s="21">
        <v>5394</v>
      </c>
      <c r="L42" s="21">
        <v>2003029</v>
      </c>
      <c r="M42" s="21">
        <v>3000000</v>
      </c>
      <c r="N42" s="22">
        <f t="shared" si="0"/>
        <v>1.1302617961029788</v>
      </c>
      <c r="O42" s="22">
        <f t="shared" si="1"/>
        <v>1.0788</v>
      </c>
    </row>
    <row r="43" spans="2:15" x14ac:dyDescent="0.3">
      <c r="B43" s="16" t="s">
        <v>18</v>
      </c>
      <c r="C43" s="17" t="s">
        <v>13</v>
      </c>
      <c r="D43" s="17" t="s">
        <v>10</v>
      </c>
      <c r="E43" s="18">
        <v>45712</v>
      </c>
      <c r="F43" s="19">
        <v>2</v>
      </c>
      <c r="G43" s="94">
        <f t="shared" si="8"/>
        <v>46166</v>
      </c>
      <c r="H43" s="20">
        <v>1</v>
      </c>
      <c r="I43" s="21">
        <v>9298713.3500000238</v>
      </c>
      <c r="J43" s="21">
        <v>32824</v>
      </c>
      <c r="K43" s="21">
        <v>26923</v>
      </c>
      <c r="L43" s="21">
        <v>10506743.32</v>
      </c>
      <c r="M43" s="21">
        <v>10506743.32</v>
      </c>
      <c r="N43" s="22">
        <f t="shared" si="0"/>
        <v>1.1299136691852076</v>
      </c>
      <c r="O43" s="22">
        <f t="shared" si="1"/>
        <v>1.0769200000000001</v>
      </c>
    </row>
    <row r="44" spans="2:15" x14ac:dyDescent="0.3">
      <c r="B44" s="16" t="s">
        <v>353</v>
      </c>
      <c r="C44" s="17" t="s">
        <v>42</v>
      </c>
      <c r="D44" s="17" t="s">
        <v>3</v>
      </c>
      <c r="E44" s="18">
        <v>45868</v>
      </c>
      <c r="F44" s="19">
        <v>7</v>
      </c>
      <c r="G44" s="94">
        <f t="shared" si="8"/>
        <v>46325</v>
      </c>
      <c r="H44" s="20">
        <v>1</v>
      </c>
      <c r="I44" s="21">
        <v>1840676.9599999993</v>
      </c>
      <c r="J44" s="21">
        <v>5756</v>
      </c>
      <c r="K44" s="21">
        <v>5370</v>
      </c>
      <c r="L44" s="21">
        <v>1724990.8200000003</v>
      </c>
      <c r="M44" s="21">
        <v>3000000</v>
      </c>
      <c r="N44" s="22">
        <f t="shared" si="0"/>
        <v>0.93715022107953205</v>
      </c>
      <c r="O44" s="22">
        <f t="shared" si="1"/>
        <v>1.0740000000000001</v>
      </c>
    </row>
    <row r="45" spans="2:15" x14ac:dyDescent="0.3">
      <c r="B45" s="16" t="s">
        <v>261</v>
      </c>
      <c r="C45" s="17" t="s">
        <v>42</v>
      </c>
      <c r="D45" s="17" t="s">
        <v>17</v>
      </c>
      <c r="E45" s="18">
        <v>45804</v>
      </c>
      <c r="F45" s="19">
        <v>5</v>
      </c>
      <c r="G45" s="94">
        <f t="shared" si="8"/>
        <v>46261</v>
      </c>
      <c r="H45" s="20">
        <v>1</v>
      </c>
      <c r="I45" s="21">
        <v>5688997.0099999998</v>
      </c>
      <c r="J45" s="21">
        <v>18588</v>
      </c>
      <c r="K45" s="21">
        <v>15743</v>
      </c>
      <c r="L45" s="21">
        <v>6428565.6699999999</v>
      </c>
      <c r="M45" s="21">
        <v>6428565.6699999999</v>
      </c>
      <c r="N45" s="22">
        <f t="shared" si="0"/>
        <v>1.129999832782475</v>
      </c>
      <c r="O45" s="22">
        <f t="shared" si="1"/>
        <v>1.0495333333333334</v>
      </c>
    </row>
    <row r="46" spans="2:15" x14ac:dyDescent="0.3">
      <c r="B46" s="16" t="s">
        <v>247</v>
      </c>
      <c r="C46" s="17" t="s">
        <v>6</v>
      </c>
      <c r="D46" s="17" t="s">
        <v>3</v>
      </c>
      <c r="E46" s="18">
        <v>45790</v>
      </c>
      <c r="F46" s="19">
        <v>5</v>
      </c>
      <c r="G46" s="94">
        <f t="shared" si="8"/>
        <v>46247</v>
      </c>
      <c r="H46" s="20">
        <v>1</v>
      </c>
      <c r="I46" s="21">
        <v>2919185.6999999997</v>
      </c>
      <c r="J46" s="21">
        <v>5287</v>
      </c>
      <c r="K46" s="21">
        <v>5207</v>
      </c>
      <c r="L46" s="21">
        <v>3130020.41</v>
      </c>
      <c r="M46" s="21">
        <v>4700000</v>
      </c>
      <c r="N46" s="22">
        <f t="shared" si="0"/>
        <v>1.0722238088519003</v>
      </c>
      <c r="O46" s="22">
        <f t="shared" si="1"/>
        <v>1.0414000000000001</v>
      </c>
    </row>
    <row r="47" spans="2:15" x14ac:dyDescent="0.3">
      <c r="B47" s="16" t="s">
        <v>387</v>
      </c>
      <c r="C47" s="17" t="s">
        <v>36</v>
      </c>
      <c r="D47" s="17" t="s">
        <v>3</v>
      </c>
      <c r="E47" s="18">
        <v>45916</v>
      </c>
      <c r="F47" s="19">
        <v>9</v>
      </c>
      <c r="G47" s="94">
        <f t="shared" si="8"/>
        <v>46372</v>
      </c>
      <c r="H47" s="20">
        <v>1</v>
      </c>
      <c r="I47" s="24">
        <v>1900159.0199999965</v>
      </c>
      <c r="J47" s="24">
        <v>5745</v>
      </c>
      <c r="K47" s="24">
        <v>5156</v>
      </c>
      <c r="L47" s="21">
        <v>2145236.96</v>
      </c>
      <c r="M47" s="21">
        <v>3000000</v>
      </c>
      <c r="N47" s="22">
        <f t="shared" si="0"/>
        <v>1.1289775947278369</v>
      </c>
      <c r="O47" s="22">
        <f t="shared" si="1"/>
        <v>1.0311999999999999</v>
      </c>
    </row>
    <row r="48" spans="2:15" x14ac:dyDescent="0.3">
      <c r="B48" s="16" t="s">
        <v>245</v>
      </c>
      <c r="C48" s="17" t="s">
        <v>133</v>
      </c>
      <c r="D48" s="17" t="s">
        <v>3</v>
      </c>
      <c r="E48" s="18">
        <v>45792</v>
      </c>
      <c r="F48" s="19">
        <v>5</v>
      </c>
      <c r="G48" s="94">
        <f t="shared" si="8"/>
        <v>46249</v>
      </c>
      <c r="H48" s="20">
        <v>1</v>
      </c>
      <c r="I48" s="21">
        <v>1782270.3300000047</v>
      </c>
      <c r="J48" s="21">
        <v>5618</v>
      </c>
      <c r="K48" s="21">
        <v>5076</v>
      </c>
      <c r="L48" s="21">
        <v>2012848.8</v>
      </c>
      <c r="M48" s="21">
        <v>2012848.8</v>
      </c>
      <c r="N48" s="22">
        <f t="shared" si="0"/>
        <v>1.1293734548114229</v>
      </c>
      <c r="O48" s="22">
        <f t="shared" si="1"/>
        <v>1.0152000000000001</v>
      </c>
    </row>
    <row r="49" spans="2:15" ht="16" x14ac:dyDescent="0.3">
      <c r="B49" s="16" t="s">
        <v>528</v>
      </c>
      <c r="C49" s="17" t="s">
        <v>6</v>
      </c>
      <c r="D49" s="17" t="s">
        <v>17</v>
      </c>
      <c r="E49" s="18">
        <v>45719</v>
      </c>
      <c r="F49" s="19">
        <v>3</v>
      </c>
      <c r="G49" s="94">
        <f t="shared" si="8"/>
        <v>46176</v>
      </c>
      <c r="H49" s="20">
        <v>1</v>
      </c>
      <c r="I49" s="21">
        <v>5228567.4899999499</v>
      </c>
      <c r="J49" s="21">
        <v>17595</v>
      </c>
      <c r="K49" s="21">
        <v>15196</v>
      </c>
      <c r="L49" s="21">
        <v>5908279.54</v>
      </c>
      <c r="M49" s="21">
        <v>5908279.54</v>
      </c>
      <c r="N49" s="22">
        <f t="shared" si="0"/>
        <v>1.1299996703303636</v>
      </c>
      <c r="O49" s="22">
        <f t="shared" si="1"/>
        <v>1.0130666666666666</v>
      </c>
    </row>
    <row r="50" spans="2:15" x14ac:dyDescent="0.3">
      <c r="B50" s="16" t="s">
        <v>56</v>
      </c>
      <c r="C50" s="17" t="s">
        <v>2</v>
      </c>
      <c r="D50" s="17" t="s">
        <v>17</v>
      </c>
      <c r="E50" s="18">
        <v>45735</v>
      </c>
      <c r="F50" s="19">
        <v>3</v>
      </c>
      <c r="G50" s="94">
        <f t="shared" si="8"/>
        <v>46192</v>
      </c>
      <c r="H50" s="20">
        <v>1</v>
      </c>
      <c r="I50" s="21">
        <v>5752217.1099999743</v>
      </c>
      <c r="J50" s="21">
        <v>17709</v>
      </c>
      <c r="K50" s="21">
        <v>15171</v>
      </c>
      <c r="L50" s="21">
        <v>6500000</v>
      </c>
      <c r="M50" s="21">
        <v>6500000</v>
      </c>
      <c r="N50" s="22">
        <f t="shared" si="0"/>
        <v>1.1299990726532276</v>
      </c>
      <c r="O50" s="22">
        <f t="shared" si="1"/>
        <v>1.0114000000000001</v>
      </c>
    </row>
    <row r="51" spans="2:15" x14ac:dyDescent="0.3">
      <c r="B51" s="16" t="s">
        <v>235</v>
      </c>
      <c r="C51" s="17" t="s">
        <v>133</v>
      </c>
      <c r="D51" s="17" t="s">
        <v>10</v>
      </c>
      <c r="E51" s="18">
        <v>45807</v>
      </c>
      <c r="F51" s="19">
        <v>5</v>
      </c>
      <c r="G51" s="18">
        <v>46399</v>
      </c>
      <c r="H51" s="20">
        <v>3</v>
      </c>
      <c r="I51" s="21">
        <v>25574731.839999691</v>
      </c>
      <c r="J51" s="21">
        <v>94060</v>
      </c>
      <c r="K51" s="21">
        <v>75635</v>
      </c>
      <c r="L51" s="21">
        <v>28941108.420000002</v>
      </c>
      <c r="M51" s="21">
        <v>28941108.420000002</v>
      </c>
      <c r="N51" s="22">
        <f t="shared" si="0"/>
        <v>1.1316290079231717</v>
      </c>
      <c r="O51" s="22">
        <f t="shared" si="1"/>
        <v>1.0084666666666666</v>
      </c>
    </row>
    <row r="52" spans="2:15" x14ac:dyDescent="0.3">
      <c r="B52" s="16" t="s">
        <v>237</v>
      </c>
      <c r="C52" s="17" t="s">
        <v>6</v>
      </c>
      <c r="D52" s="17" t="s">
        <v>3</v>
      </c>
      <c r="E52" s="18">
        <v>45798</v>
      </c>
      <c r="F52" s="19">
        <v>5</v>
      </c>
      <c r="G52" s="94">
        <f t="shared" ref="G52:G53" si="9">EDATE(E52,15)</f>
        <v>46255</v>
      </c>
      <c r="H52" s="20">
        <v>1</v>
      </c>
      <c r="I52" s="21">
        <v>1772767.9999999984</v>
      </c>
      <c r="J52" s="21">
        <v>5756</v>
      </c>
      <c r="K52" s="21">
        <v>5040</v>
      </c>
      <c r="L52" s="21">
        <v>2003226.9999999998</v>
      </c>
      <c r="M52" s="21">
        <v>2003227</v>
      </c>
      <c r="N52" s="22">
        <f t="shared" si="0"/>
        <v>1.1299995261647331</v>
      </c>
      <c r="O52" s="22">
        <f t="shared" si="1"/>
        <v>1.008</v>
      </c>
    </row>
    <row r="53" spans="2:15" x14ac:dyDescent="0.3">
      <c r="B53" s="16" t="s">
        <v>199</v>
      </c>
      <c r="C53" s="17" t="s">
        <v>9</v>
      </c>
      <c r="D53" s="17" t="s">
        <v>3</v>
      </c>
      <c r="E53" s="18">
        <v>45748</v>
      </c>
      <c r="F53" s="19">
        <v>4</v>
      </c>
      <c r="G53" s="94">
        <f t="shared" si="9"/>
        <v>46204</v>
      </c>
      <c r="H53" s="20">
        <v>1</v>
      </c>
      <c r="I53" s="21">
        <v>1687244.069999998</v>
      </c>
      <c r="J53" s="21">
        <v>5352</v>
      </c>
      <c r="K53" s="21">
        <v>5023</v>
      </c>
      <c r="L53" s="21">
        <v>1355912.0499999998</v>
      </c>
      <c r="M53" s="21">
        <v>3000000</v>
      </c>
      <c r="N53" s="22">
        <f t="shared" si="0"/>
        <v>0.80362531663839332</v>
      </c>
      <c r="O53" s="22">
        <f t="shared" si="1"/>
        <v>1.0045999999999999</v>
      </c>
    </row>
    <row r="54" spans="2:15" x14ac:dyDescent="0.3">
      <c r="B54" s="16" t="s">
        <v>153</v>
      </c>
      <c r="C54" s="17" t="s">
        <v>9</v>
      </c>
      <c r="D54" s="17" t="s">
        <v>3</v>
      </c>
      <c r="E54" s="18">
        <v>45758</v>
      </c>
      <c r="F54" s="19">
        <v>4</v>
      </c>
      <c r="G54" s="18">
        <v>46514</v>
      </c>
      <c r="H54" s="20">
        <v>3</v>
      </c>
      <c r="I54" s="21">
        <v>5476554.8100000322</v>
      </c>
      <c r="J54" s="21">
        <v>16998</v>
      </c>
      <c r="K54" s="21">
        <v>15057</v>
      </c>
      <c r="L54" s="21">
        <v>6200000</v>
      </c>
      <c r="M54" s="21">
        <v>7000000</v>
      </c>
      <c r="N54" s="22">
        <f t="shared" si="0"/>
        <v>1.132098593933357</v>
      </c>
      <c r="O54" s="22">
        <f t="shared" si="1"/>
        <v>1.0038</v>
      </c>
    </row>
    <row r="55" spans="2:15" x14ac:dyDescent="0.3">
      <c r="B55" s="16" t="s">
        <v>349</v>
      </c>
      <c r="C55" s="17" t="s">
        <v>16</v>
      </c>
      <c r="D55" s="17" t="s">
        <v>3</v>
      </c>
      <c r="E55" s="18">
        <v>45842</v>
      </c>
      <c r="F55" s="19">
        <v>7</v>
      </c>
      <c r="G55" s="94">
        <f t="shared" ref="G55:G62" si="10">EDATE(E55,15)</f>
        <v>46299</v>
      </c>
      <c r="H55" s="20">
        <v>1</v>
      </c>
      <c r="I55" s="21">
        <v>1800301.8499999989</v>
      </c>
      <c r="J55" s="21">
        <v>5581</v>
      </c>
      <c r="K55" s="21">
        <v>5002</v>
      </c>
      <c r="L55" s="21">
        <v>2030904.9100000001</v>
      </c>
      <c r="M55" s="21">
        <v>3084760.13</v>
      </c>
      <c r="N55" s="22">
        <f t="shared" si="0"/>
        <v>1.1280913309065372</v>
      </c>
      <c r="O55" s="22">
        <f t="shared" si="1"/>
        <v>1.0004</v>
      </c>
    </row>
    <row r="56" spans="2:15" x14ac:dyDescent="0.3">
      <c r="B56" s="16" t="s">
        <v>60</v>
      </c>
      <c r="C56" s="17" t="s">
        <v>13</v>
      </c>
      <c r="D56" s="17" t="s">
        <v>3</v>
      </c>
      <c r="E56" s="18">
        <v>45741</v>
      </c>
      <c r="F56" s="19">
        <v>3</v>
      </c>
      <c r="G56" s="94">
        <f t="shared" si="10"/>
        <v>46198</v>
      </c>
      <c r="H56" s="20">
        <v>1</v>
      </c>
      <c r="I56" s="21">
        <v>1708789.52</v>
      </c>
      <c r="J56" s="21">
        <v>5550</v>
      </c>
      <c r="K56" s="21">
        <v>5000</v>
      </c>
      <c r="L56" s="21">
        <v>1930931.67</v>
      </c>
      <c r="M56" s="21">
        <v>1930931.67</v>
      </c>
      <c r="N56" s="22">
        <f t="shared" si="0"/>
        <v>1.1299997146518079</v>
      </c>
      <c r="O56" s="22">
        <f t="shared" si="1"/>
        <v>1</v>
      </c>
    </row>
    <row r="57" spans="2:15" x14ac:dyDescent="0.3">
      <c r="B57" s="16" t="s">
        <v>239</v>
      </c>
      <c r="C57" s="17" t="s">
        <v>9</v>
      </c>
      <c r="D57" s="17" t="s">
        <v>3</v>
      </c>
      <c r="E57" s="18">
        <v>45793</v>
      </c>
      <c r="F57" s="19">
        <v>5</v>
      </c>
      <c r="G57" s="94">
        <f t="shared" si="10"/>
        <v>46250</v>
      </c>
      <c r="H57" s="20">
        <v>1</v>
      </c>
      <c r="I57" s="21">
        <v>1752956.6799999964</v>
      </c>
      <c r="J57" s="21">
        <v>5636</v>
      </c>
      <c r="K57" s="21">
        <v>4981</v>
      </c>
      <c r="L57" s="21">
        <v>538353.65999999992</v>
      </c>
      <c r="M57" s="21">
        <v>3000000</v>
      </c>
      <c r="N57" s="22">
        <f t="shared" si="0"/>
        <v>0.30711178783950382</v>
      </c>
      <c r="O57" s="22">
        <f t="shared" si="1"/>
        <v>0.99619999999999997</v>
      </c>
    </row>
    <row r="58" spans="2:15" x14ac:dyDescent="0.3">
      <c r="B58" s="16" t="s">
        <v>381</v>
      </c>
      <c r="C58" s="17" t="s">
        <v>2</v>
      </c>
      <c r="D58" s="17" t="s">
        <v>10</v>
      </c>
      <c r="E58" s="18">
        <v>45888</v>
      </c>
      <c r="F58" s="19">
        <v>8</v>
      </c>
      <c r="G58" s="94">
        <f t="shared" si="10"/>
        <v>46345</v>
      </c>
      <c r="H58" s="20">
        <v>1</v>
      </c>
      <c r="I58" s="21">
        <v>9023615.8200000152</v>
      </c>
      <c r="J58" s="21">
        <v>24712</v>
      </c>
      <c r="K58" s="21">
        <v>24712</v>
      </c>
      <c r="L58" s="21">
        <v>10500000</v>
      </c>
      <c r="M58" s="21">
        <v>11000000</v>
      </c>
      <c r="N58" s="22">
        <f t="shared" si="0"/>
        <v>1.1636133684600929</v>
      </c>
      <c r="O58" s="22">
        <f t="shared" si="1"/>
        <v>0.98848000000000003</v>
      </c>
    </row>
    <row r="59" spans="2:15" x14ac:dyDescent="0.3">
      <c r="B59" s="16" t="s">
        <v>67</v>
      </c>
      <c r="C59" s="17" t="s">
        <v>2</v>
      </c>
      <c r="D59" s="17" t="s">
        <v>17</v>
      </c>
      <c r="E59" s="18">
        <v>45734</v>
      </c>
      <c r="F59" s="19">
        <v>3</v>
      </c>
      <c r="G59" s="94">
        <f t="shared" si="10"/>
        <v>46191</v>
      </c>
      <c r="H59" s="20">
        <v>1</v>
      </c>
      <c r="I59" s="21">
        <v>5137250.8899999987</v>
      </c>
      <c r="J59" s="21">
        <v>16485</v>
      </c>
      <c r="K59" s="21">
        <v>14724</v>
      </c>
      <c r="L59" s="21">
        <v>5574588.7600000007</v>
      </c>
      <c r="M59" s="21">
        <v>6600000</v>
      </c>
      <c r="N59" s="22">
        <f t="shared" si="0"/>
        <v>1.0851307205671634</v>
      </c>
      <c r="O59" s="22">
        <f t="shared" si="1"/>
        <v>0.98160000000000003</v>
      </c>
    </row>
    <row r="60" spans="2:15" x14ac:dyDescent="0.3">
      <c r="B60" s="16" t="s">
        <v>243</v>
      </c>
      <c r="C60" s="17" t="s">
        <v>2</v>
      </c>
      <c r="D60" s="17" t="s">
        <v>17</v>
      </c>
      <c r="E60" s="18">
        <v>45791</v>
      </c>
      <c r="F60" s="19">
        <v>5</v>
      </c>
      <c r="G60" s="94">
        <f t="shared" si="10"/>
        <v>46248</v>
      </c>
      <c r="H60" s="20">
        <v>1</v>
      </c>
      <c r="I60" s="21">
        <v>5307506.9699999671</v>
      </c>
      <c r="J60" s="21">
        <v>16822</v>
      </c>
      <c r="K60" s="21">
        <v>14613</v>
      </c>
      <c r="L60" s="21">
        <v>6000000</v>
      </c>
      <c r="M60" s="21">
        <v>6000000</v>
      </c>
      <c r="N60" s="22">
        <f t="shared" si="0"/>
        <v>1.1304742572952358</v>
      </c>
      <c r="O60" s="22">
        <f t="shared" si="1"/>
        <v>0.97419999999999995</v>
      </c>
    </row>
    <row r="61" spans="2:15" x14ac:dyDescent="0.3">
      <c r="B61" s="16" t="s">
        <v>182</v>
      </c>
      <c r="C61" s="17" t="s">
        <v>36</v>
      </c>
      <c r="D61" s="17" t="s">
        <v>17</v>
      </c>
      <c r="E61" s="18">
        <v>45769</v>
      </c>
      <c r="F61" s="19">
        <v>4</v>
      </c>
      <c r="G61" s="94">
        <f t="shared" si="10"/>
        <v>46225</v>
      </c>
      <c r="H61" s="20">
        <v>1</v>
      </c>
      <c r="I61" s="21">
        <v>4808439.1699999422</v>
      </c>
      <c r="J61" s="21">
        <v>16425</v>
      </c>
      <c r="K61" s="21">
        <v>14573</v>
      </c>
      <c r="L61" s="21">
        <v>4342920.5999999996</v>
      </c>
      <c r="M61" s="21">
        <v>6000000</v>
      </c>
      <c r="N61" s="22">
        <f t="shared" si="0"/>
        <v>0.90318717705646923</v>
      </c>
      <c r="O61" s="22">
        <f t="shared" si="1"/>
        <v>0.97153333333333336</v>
      </c>
    </row>
    <row r="62" spans="2:15" x14ac:dyDescent="0.3">
      <c r="B62" s="16" t="s">
        <v>90</v>
      </c>
      <c r="C62" s="17" t="s">
        <v>2</v>
      </c>
      <c r="D62" s="17" t="s">
        <v>17</v>
      </c>
      <c r="E62" s="18">
        <v>45722</v>
      </c>
      <c r="F62" s="19">
        <v>3</v>
      </c>
      <c r="G62" s="94">
        <f t="shared" si="10"/>
        <v>46179</v>
      </c>
      <c r="H62" s="20">
        <v>1</v>
      </c>
      <c r="I62" s="21">
        <v>4894168.0600000061</v>
      </c>
      <c r="J62" s="21">
        <v>16700</v>
      </c>
      <c r="K62" s="21">
        <v>14473</v>
      </c>
      <c r="L62" s="21">
        <v>5290718.2799999993</v>
      </c>
      <c r="M62" s="21">
        <v>6000000</v>
      </c>
      <c r="N62" s="22">
        <f t="shared" si="0"/>
        <v>1.0810250516816116</v>
      </c>
      <c r="O62" s="22">
        <f t="shared" si="1"/>
        <v>0.96486666666666665</v>
      </c>
    </row>
    <row r="63" spans="2:15" x14ac:dyDescent="0.3">
      <c r="B63" s="16" t="s">
        <v>81</v>
      </c>
      <c r="C63" s="17" t="s">
        <v>6</v>
      </c>
      <c r="D63" s="17" t="s">
        <v>10</v>
      </c>
      <c r="E63" s="18">
        <v>45734</v>
      </c>
      <c r="F63" s="19">
        <v>3</v>
      </c>
      <c r="G63" s="18">
        <v>46308</v>
      </c>
      <c r="H63" s="20">
        <v>2</v>
      </c>
      <c r="I63" s="21">
        <v>16733698.159999944</v>
      </c>
      <c r="J63" s="21">
        <v>55666</v>
      </c>
      <c r="K63" s="21">
        <v>47688</v>
      </c>
      <c r="L63" s="21">
        <v>16135341.100000001</v>
      </c>
      <c r="M63" s="21">
        <v>24150000</v>
      </c>
      <c r="N63" s="22">
        <f t="shared" si="0"/>
        <v>0.96424238956154662</v>
      </c>
      <c r="O63" s="22">
        <f t="shared" si="1"/>
        <v>0.95376000000000005</v>
      </c>
    </row>
    <row r="64" spans="2:15" x14ac:dyDescent="0.3">
      <c r="B64" s="16" t="s">
        <v>249</v>
      </c>
      <c r="C64" s="17" t="s">
        <v>70</v>
      </c>
      <c r="D64" s="17" t="s">
        <v>3</v>
      </c>
      <c r="E64" s="18">
        <v>45806</v>
      </c>
      <c r="F64" s="19">
        <v>5</v>
      </c>
      <c r="G64" s="94">
        <f t="shared" ref="G64:G66" si="11">EDATE(E64,15)</f>
        <v>46263</v>
      </c>
      <c r="H64" s="20">
        <v>1</v>
      </c>
      <c r="I64" s="21">
        <v>1617464.889999999</v>
      </c>
      <c r="J64" s="21">
        <v>5342</v>
      </c>
      <c r="K64" s="21">
        <v>4764</v>
      </c>
      <c r="L64" s="21">
        <v>1851561</v>
      </c>
      <c r="M64" s="21">
        <v>1969000</v>
      </c>
      <c r="N64" s="22">
        <f t="shared" si="0"/>
        <v>1.144730257483364</v>
      </c>
      <c r="O64" s="22">
        <f t="shared" si="1"/>
        <v>0.95279999999999998</v>
      </c>
    </row>
    <row r="65" spans="2:15" x14ac:dyDescent="0.3">
      <c r="B65" s="16" t="s">
        <v>69</v>
      </c>
      <c r="C65" s="17" t="s">
        <v>70</v>
      </c>
      <c r="D65" s="17" t="s">
        <v>3</v>
      </c>
      <c r="E65" s="18">
        <v>45741</v>
      </c>
      <c r="F65" s="19">
        <v>3</v>
      </c>
      <c r="G65" s="94">
        <f t="shared" si="11"/>
        <v>46198</v>
      </c>
      <c r="H65" s="20">
        <v>1</v>
      </c>
      <c r="I65" s="21">
        <v>1632454.9799999977</v>
      </c>
      <c r="J65" s="21">
        <v>5237</v>
      </c>
      <c r="K65" s="21">
        <v>4763</v>
      </c>
      <c r="L65" s="21">
        <v>1490263.22</v>
      </c>
      <c r="M65" s="21">
        <v>1850000</v>
      </c>
      <c r="N65" s="22">
        <f t="shared" si="0"/>
        <v>0.91289697924778423</v>
      </c>
      <c r="O65" s="22">
        <f t="shared" si="1"/>
        <v>0.9526</v>
      </c>
    </row>
    <row r="66" spans="2:15" x14ac:dyDescent="0.3">
      <c r="B66" s="16" t="s">
        <v>192</v>
      </c>
      <c r="C66" s="17" t="s">
        <v>6</v>
      </c>
      <c r="D66" s="17" t="s">
        <v>3</v>
      </c>
      <c r="E66" s="18">
        <v>45771</v>
      </c>
      <c r="F66" s="19">
        <v>4</v>
      </c>
      <c r="G66" s="94">
        <f t="shared" si="11"/>
        <v>46227</v>
      </c>
      <c r="H66" s="20">
        <v>1</v>
      </c>
      <c r="I66" s="21">
        <v>1593975.8899999997</v>
      </c>
      <c r="J66" s="21">
        <v>4760</v>
      </c>
      <c r="K66" s="21">
        <v>4760</v>
      </c>
      <c r="L66" s="21">
        <v>1677802.4899999998</v>
      </c>
      <c r="M66" s="21">
        <v>3000000</v>
      </c>
      <c r="N66" s="22">
        <f t="shared" si="0"/>
        <v>1.0525896285670922</v>
      </c>
      <c r="O66" s="22">
        <f t="shared" si="1"/>
        <v>0.95199999999999996</v>
      </c>
    </row>
    <row r="67" spans="2:15" x14ac:dyDescent="0.3">
      <c r="B67" s="16" t="s">
        <v>66</v>
      </c>
      <c r="C67" s="17" t="s">
        <v>9</v>
      </c>
      <c r="D67" s="17" t="s">
        <v>3</v>
      </c>
      <c r="E67" s="18">
        <v>45741</v>
      </c>
      <c r="F67" s="19">
        <v>3</v>
      </c>
      <c r="G67" s="18">
        <v>46254</v>
      </c>
      <c r="H67" s="20">
        <v>2</v>
      </c>
      <c r="I67" s="21">
        <v>3385818.6599999964</v>
      </c>
      <c r="J67" s="21">
        <v>10681</v>
      </c>
      <c r="K67" s="21">
        <v>9516</v>
      </c>
      <c r="L67" s="21">
        <v>3826500</v>
      </c>
      <c r="M67" s="21">
        <v>4000000</v>
      </c>
      <c r="N67" s="22">
        <f t="shared" si="0"/>
        <v>1.1301550331700292</v>
      </c>
      <c r="O67" s="22">
        <f t="shared" si="1"/>
        <v>0.9516</v>
      </c>
    </row>
    <row r="68" spans="2:15" x14ac:dyDescent="0.3">
      <c r="B68" s="16" t="s">
        <v>190</v>
      </c>
      <c r="C68" s="17" t="s">
        <v>2</v>
      </c>
      <c r="D68" s="17" t="s">
        <v>10</v>
      </c>
      <c r="E68" s="18">
        <v>45757</v>
      </c>
      <c r="F68" s="19">
        <v>4</v>
      </c>
      <c r="G68" s="94">
        <f t="shared" ref="G68:G69" si="12">EDATE(E68,15)</f>
        <v>46213</v>
      </c>
      <c r="H68" s="20">
        <v>1</v>
      </c>
      <c r="I68" s="21">
        <v>8143753.3799999338</v>
      </c>
      <c r="J68" s="21">
        <v>24466</v>
      </c>
      <c r="K68" s="21">
        <v>23423</v>
      </c>
      <c r="L68" s="21">
        <v>12000000</v>
      </c>
      <c r="M68" s="21">
        <v>12000000</v>
      </c>
      <c r="N68" s="22">
        <f t="shared" ref="N68:N131" si="13">IFERROR(L68/I68,"")</f>
        <v>1.4735220284875692</v>
      </c>
      <c r="O68" s="22">
        <f t="shared" ref="O68:O131" si="14">IF(D68="a",K68/25000,IF(D68="b",K68/15000,IF(D68="c",K68/5000)))/H68</f>
        <v>0.93691999999999998</v>
      </c>
    </row>
    <row r="69" spans="2:15" x14ac:dyDescent="0.3">
      <c r="B69" s="16" t="s">
        <v>388</v>
      </c>
      <c r="C69" s="17" t="s">
        <v>389</v>
      </c>
      <c r="D69" s="17" t="s">
        <v>3</v>
      </c>
      <c r="E69" s="18">
        <v>45915</v>
      </c>
      <c r="F69" s="19">
        <v>9</v>
      </c>
      <c r="G69" s="94">
        <f t="shared" si="12"/>
        <v>46371</v>
      </c>
      <c r="H69" s="20">
        <v>1</v>
      </c>
      <c r="I69" s="21">
        <v>1755305.3099999984</v>
      </c>
      <c r="J69" s="21">
        <v>5101</v>
      </c>
      <c r="K69" s="21">
        <v>4646</v>
      </c>
      <c r="L69" s="21">
        <v>1906095.8299999998</v>
      </c>
      <c r="M69" s="21">
        <v>3000000</v>
      </c>
      <c r="N69" s="22">
        <f t="shared" si="13"/>
        <v>1.0859055795826207</v>
      </c>
      <c r="O69" s="22">
        <f t="shared" si="14"/>
        <v>0.92920000000000003</v>
      </c>
    </row>
    <row r="70" spans="2:15" x14ac:dyDescent="0.3">
      <c r="B70" s="16" t="s">
        <v>358</v>
      </c>
      <c r="C70" s="17" t="s">
        <v>6</v>
      </c>
      <c r="D70" s="17" t="s">
        <v>10</v>
      </c>
      <c r="E70" s="18">
        <v>45852</v>
      </c>
      <c r="F70" s="19">
        <v>7</v>
      </c>
      <c r="G70" s="18">
        <v>46393</v>
      </c>
      <c r="H70" s="20">
        <v>2</v>
      </c>
      <c r="I70" s="21">
        <v>15934622.599999961</v>
      </c>
      <c r="J70" s="21">
        <v>56684</v>
      </c>
      <c r="K70" s="21">
        <v>45778</v>
      </c>
      <c r="L70" s="21">
        <v>17188157.469999999</v>
      </c>
      <c r="M70" s="21">
        <v>18700182.16</v>
      </c>
      <c r="N70" s="22">
        <f t="shared" si="13"/>
        <v>1.0786673711368628</v>
      </c>
      <c r="O70" s="22">
        <f t="shared" si="14"/>
        <v>0.91556000000000004</v>
      </c>
    </row>
    <row r="71" spans="2:15" x14ac:dyDescent="0.3">
      <c r="B71" s="16" t="s">
        <v>78</v>
      </c>
      <c r="C71" s="17" t="s">
        <v>2</v>
      </c>
      <c r="D71" s="17" t="s">
        <v>3</v>
      </c>
      <c r="E71" s="18">
        <v>45739</v>
      </c>
      <c r="F71" s="19">
        <v>3</v>
      </c>
      <c r="G71" s="94">
        <f>EDATE(E71,15)</f>
        <v>46196</v>
      </c>
      <c r="H71" s="20">
        <v>1</v>
      </c>
      <c r="I71" s="21">
        <v>1875588.6999999993</v>
      </c>
      <c r="J71" s="21">
        <v>4934</v>
      </c>
      <c r="K71" s="21">
        <v>4537</v>
      </c>
      <c r="L71" s="21">
        <v>1965250.75</v>
      </c>
      <c r="M71" s="21">
        <v>3018000</v>
      </c>
      <c r="N71" s="22">
        <f t="shared" si="13"/>
        <v>1.0478047505831107</v>
      </c>
      <c r="O71" s="22">
        <f t="shared" si="14"/>
        <v>0.90739999999999998</v>
      </c>
    </row>
    <row r="72" spans="2:15" x14ac:dyDescent="0.3">
      <c r="B72" s="16" t="s">
        <v>26</v>
      </c>
      <c r="C72" s="17" t="s">
        <v>6</v>
      </c>
      <c r="D72" s="17" t="s">
        <v>10</v>
      </c>
      <c r="E72" s="18">
        <v>45707</v>
      </c>
      <c r="F72" s="19">
        <v>2</v>
      </c>
      <c r="G72" s="18">
        <v>46312</v>
      </c>
      <c r="H72" s="20">
        <v>2</v>
      </c>
      <c r="I72" s="21">
        <v>16162061.779999901</v>
      </c>
      <c r="J72" s="21">
        <v>54937</v>
      </c>
      <c r="K72" s="21">
        <v>45155</v>
      </c>
      <c r="L72" s="21">
        <v>17149077.870000001</v>
      </c>
      <c r="M72" s="21">
        <v>20250000</v>
      </c>
      <c r="N72" s="22">
        <f t="shared" si="13"/>
        <v>1.0610699367095295</v>
      </c>
      <c r="O72" s="22">
        <f t="shared" si="14"/>
        <v>0.90310000000000001</v>
      </c>
    </row>
    <row r="73" spans="2:15" x14ac:dyDescent="0.3">
      <c r="B73" s="16" t="s">
        <v>27</v>
      </c>
      <c r="C73" s="17" t="s">
        <v>13</v>
      </c>
      <c r="D73" s="17" t="s">
        <v>10</v>
      </c>
      <c r="E73" s="18">
        <v>45712</v>
      </c>
      <c r="F73" s="19">
        <v>2</v>
      </c>
      <c r="G73" s="18">
        <v>46443</v>
      </c>
      <c r="H73" s="20">
        <v>3</v>
      </c>
      <c r="I73" s="21">
        <v>22521514.340000011</v>
      </c>
      <c r="J73" s="21">
        <v>78035</v>
      </c>
      <c r="K73" s="21">
        <v>67060</v>
      </c>
      <c r="L73" s="21">
        <v>23399546.030000001</v>
      </c>
      <c r="M73" s="21">
        <v>28049936.23</v>
      </c>
      <c r="N73" s="22">
        <f t="shared" si="13"/>
        <v>1.0389863521939346</v>
      </c>
      <c r="O73" s="22">
        <f t="shared" si="14"/>
        <v>0.89413333333333334</v>
      </c>
    </row>
    <row r="74" spans="2:15" x14ac:dyDescent="0.3">
      <c r="B74" s="16" t="s">
        <v>75</v>
      </c>
      <c r="C74" s="17" t="s">
        <v>42</v>
      </c>
      <c r="D74" s="17" t="s">
        <v>3</v>
      </c>
      <c r="E74" s="18">
        <v>45741</v>
      </c>
      <c r="F74" s="19">
        <v>3</v>
      </c>
      <c r="G74" s="94">
        <f t="shared" ref="G74:G75" si="15">EDATE(E74,15)</f>
        <v>46198</v>
      </c>
      <c r="H74" s="20">
        <v>1</v>
      </c>
      <c r="I74" s="21">
        <v>1676483.3700000013</v>
      </c>
      <c r="J74" s="21">
        <v>4395</v>
      </c>
      <c r="K74" s="21">
        <v>4385</v>
      </c>
      <c r="L74" s="21">
        <v>1785613.9</v>
      </c>
      <c r="M74" s="21">
        <v>3050000</v>
      </c>
      <c r="N74" s="22">
        <f t="shared" si="13"/>
        <v>1.0650949075623688</v>
      </c>
      <c r="O74" s="22">
        <f t="shared" si="14"/>
        <v>0.877</v>
      </c>
    </row>
    <row r="75" spans="2:15" x14ac:dyDescent="0.3">
      <c r="B75" s="16" t="s">
        <v>188</v>
      </c>
      <c r="C75" s="17" t="s">
        <v>9</v>
      </c>
      <c r="D75" s="17" t="s">
        <v>3</v>
      </c>
      <c r="E75" s="18">
        <v>45775</v>
      </c>
      <c r="F75" s="19">
        <v>4</v>
      </c>
      <c r="G75" s="94">
        <f t="shared" si="15"/>
        <v>46231</v>
      </c>
      <c r="H75" s="20">
        <v>1</v>
      </c>
      <c r="I75" s="21">
        <v>1508052.79</v>
      </c>
      <c r="J75" s="21">
        <v>4824</v>
      </c>
      <c r="K75" s="21">
        <v>4368</v>
      </c>
      <c r="L75" s="21">
        <v>1703546.04</v>
      </c>
      <c r="M75" s="21">
        <v>3000000</v>
      </c>
      <c r="N75" s="22">
        <f t="shared" si="13"/>
        <v>1.1296328956760193</v>
      </c>
      <c r="O75" s="22">
        <f t="shared" si="14"/>
        <v>0.87360000000000004</v>
      </c>
    </row>
    <row r="76" spans="2:15" x14ac:dyDescent="0.3">
      <c r="B76" s="16" t="s">
        <v>354</v>
      </c>
      <c r="C76" s="17" t="s">
        <v>9</v>
      </c>
      <c r="D76" s="17" t="s">
        <v>10</v>
      </c>
      <c r="E76" s="18">
        <v>45867</v>
      </c>
      <c r="F76" s="19">
        <v>7</v>
      </c>
      <c r="G76" s="18">
        <v>46402</v>
      </c>
      <c r="H76" s="20">
        <v>2</v>
      </c>
      <c r="I76" s="21">
        <v>14434716.960000018</v>
      </c>
      <c r="J76" s="21">
        <v>49718</v>
      </c>
      <c r="K76" s="21">
        <v>43024</v>
      </c>
      <c r="L76" s="21">
        <v>13629959.510000002</v>
      </c>
      <c r="M76" s="21">
        <v>20000000</v>
      </c>
      <c r="N76" s="22">
        <f t="shared" si="13"/>
        <v>0.94424847731825456</v>
      </c>
      <c r="O76" s="22">
        <f t="shared" si="14"/>
        <v>0.86048000000000002</v>
      </c>
    </row>
    <row r="77" spans="2:15" x14ac:dyDescent="0.3">
      <c r="B77" s="16" t="s">
        <v>62</v>
      </c>
      <c r="C77" s="17" t="s">
        <v>9</v>
      </c>
      <c r="D77" s="17" t="s">
        <v>3</v>
      </c>
      <c r="E77" s="18">
        <v>45726</v>
      </c>
      <c r="F77" s="19">
        <v>3</v>
      </c>
      <c r="G77" s="18">
        <v>46290</v>
      </c>
      <c r="H77" s="20">
        <v>2</v>
      </c>
      <c r="I77" s="21">
        <v>3441609.9899999956</v>
      </c>
      <c r="J77" s="21">
        <v>9348</v>
      </c>
      <c r="K77" s="21">
        <v>8575</v>
      </c>
      <c r="L77" s="21">
        <v>4005162.76</v>
      </c>
      <c r="M77" s="21">
        <v>6000000</v>
      </c>
      <c r="N77" s="22">
        <f t="shared" si="13"/>
        <v>1.1637468427966775</v>
      </c>
      <c r="O77" s="22">
        <f t="shared" si="14"/>
        <v>0.85750000000000004</v>
      </c>
    </row>
    <row r="78" spans="2:15" x14ac:dyDescent="0.3">
      <c r="B78" s="16" t="s">
        <v>83</v>
      </c>
      <c r="C78" s="17" t="s">
        <v>2</v>
      </c>
      <c r="D78" s="17" t="s">
        <v>17</v>
      </c>
      <c r="E78" s="18">
        <v>45729</v>
      </c>
      <c r="F78" s="19">
        <v>3</v>
      </c>
      <c r="G78" s="94">
        <f>EDATE(E78,15)</f>
        <v>46186</v>
      </c>
      <c r="H78" s="20">
        <v>1</v>
      </c>
      <c r="I78" s="21">
        <v>4336838.6499999966</v>
      </c>
      <c r="J78" s="21">
        <v>14222</v>
      </c>
      <c r="K78" s="21">
        <v>12704</v>
      </c>
      <c r="L78" s="21">
        <v>4321581.5</v>
      </c>
      <c r="M78" s="21">
        <v>6000000</v>
      </c>
      <c r="N78" s="22">
        <f t="shared" si="13"/>
        <v>0.99648196503690611</v>
      </c>
      <c r="O78" s="22">
        <f t="shared" si="14"/>
        <v>0.84693333333333332</v>
      </c>
    </row>
    <row r="79" spans="2:15" x14ac:dyDescent="0.3">
      <c r="B79" s="16" t="s">
        <v>79</v>
      </c>
      <c r="C79" s="17" t="s">
        <v>6</v>
      </c>
      <c r="D79" s="17" t="s">
        <v>10</v>
      </c>
      <c r="E79" s="18">
        <v>45720</v>
      </c>
      <c r="F79" s="19">
        <v>3</v>
      </c>
      <c r="G79" s="18">
        <v>46332</v>
      </c>
      <c r="H79" s="20">
        <v>2</v>
      </c>
      <c r="I79" s="21">
        <v>14883182.600000041</v>
      </c>
      <c r="J79" s="21">
        <v>51346</v>
      </c>
      <c r="K79" s="21">
        <v>42236</v>
      </c>
      <c r="L79" s="21">
        <v>16209773.710000001</v>
      </c>
      <c r="M79" s="21">
        <v>19300000</v>
      </c>
      <c r="N79" s="22">
        <f t="shared" si="13"/>
        <v>1.0891335640805722</v>
      </c>
      <c r="O79" s="22">
        <f t="shared" si="14"/>
        <v>0.84472000000000003</v>
      </c>
    </row>
    <row r="80" spans="2:15" x14ac:dyDescent="0.3">
      <c r="B80" s="16" t="s">
        <v>259</v>
      </c>
      <c r="C80" s="17" t="s">
        <v>2</v>
      </c>
      <c r="D80" s="17" t="s">
        <v>3</v>
      </c>
      <c r="E80" s="18">
        <v>45791</v>
      </c>
      <c r="F80" s="19">
        <v>5</v>
      </c>
      <c r="G80" s="94">
        <f t="shared" ref="G80:G83" si="16">EDATE(E80,15)</f>
        <v>46248</v>
      </c>
      <c r="H80" s="20">
        <v>1</v>
      </c>
      <c r="I80" s="21">
        <v>1522319.7100000002</v>
      </c>
      <c r="J80" s="21">
        <v>4214</v>
      </c>
      <c r="K80" s="21">
        <v>4214</v>
      </c>
      <c r="L80" s="21">
        <v>1284950.9700000002</v>
      </c>
      <c r="M80" s="21">
        <v>3000000</v>
      </c>
      <c r="N80" s="22">
        <f t="shared" si="13"/>
        <v>0.8440743173455989</v>
      </c>
      <c r="O80" s="22">
        <f t="shared" si="14"/>
        <v>0.84279999999999999</v>
      </c>
    </row>
    <row r="81" spans="1:15" x14ac:dyDescent="0.3">
      <c r="B81" s="16" t="s">
        <v>309</v>
      </c>
      <c r="C81" s="17" t="s">
        <v>2</v>
      </c>
      <c r="D81" s="17" t="s">
        <v>3</v>
      </c>
      <c r="E81" s="18">
        <v>45825</v>
      </c>
      <c r="F81" s="19">
        <v>6</v>
      </c>
      <c r="G81" s="94">
        <f t="shared" si="16"/>
        <v>46282</v>
      </c>
      <c r="H81" s="20">
        <v>1</v>
      </c>
      <c r="I81" s="21">
        <v>1491177.7099999988</v>
      </c>
      <c r="J81" s="21">
        <v>4190</v>
      </c>
      <c r="K81" s="21">
        <v>4182</v>
      </c>
      <c r="L81" s="21">
        <v>1523806.3599999999</v>
      </c>
      <c r="M81" s="21">
        <v>3700000</v>
      </c>
      <c r="N81" s="22">
        <f t="shared" si="13"/>
        <v>1.021881127769809</v>
      </c>
      <c r="O81" s="22">
        <f t="shared" si="14"/>
        <v>0.83640000000000003</v>
      </c>
    </row>
    <row r="82" spans="1:15" x14ac:dyDescent="0.3">
      <c r="A82" s="2"/>
      <c r="B82" s="16" t="s">
        <v>311</v>
      </c>
      <c r="C82" s="17" t="s">
        <v>133</v>
      </c>
      <c r="D82" s="17" t="s">
        <v>3</v>
      </c>
      <c r="E82" s="18">
        <v>45833</v>
      </c>
      <c r="F82" s="19">
        <v>6</v>
      </c>
      <c r="G82" s="94">
        <f t="shared" si="16"/>
        <v>46290</v>
      </c>
      <c r="H82" s="20">
        <v>1</v>
      </c>
      <c r="I82" s="21">
        <v>1647731.8500000006</v>
      </c>
      <c r="J82" s="21">
        <v>4165</v>
      </c>
      <c r="K82" s="21">
        <v>4165</v>
      </c>
      <c r="L82" s="21">
        <v>1757102.69</v>
      </c>
      <c r="M82" s="21">
        <v>3300000</v>
      </c>
      <c r="N82" s="22">
        <f t="shared" si="13"/>
        <v>1.0663766012655513</v>
      </c>
      <c r="O82" s="22">
        <f t="shared" si="14"/>
        <v>0.83299999999999996</v>
      </c>
    </row>
    <row r="83" spans="1:15" x14ac:dyDescent="0.3">
      <c r="B83" s="16" t="s">
        <v>88</v>
      </c>
      <c r="C83" s="17" t="s">
        <v>2</v>
      </c>
      <c r="D83" s="17" t="s">
        <v>17</v>
      </c>
      <c r="E83" s="18">
        <v>45726</v>
      </c>
      <c r="F83" s="19">
        <v>3</v>
      </c>
      <c r="G83" s="94">
        <f t="shared" si="16"/>
        <v>46183</v>
      </c>
      <c r="H83" s="20">
        <v>1</v>
      </c>
      <c r="I83" s="21">
        <v>4490532.7000000039</v>
      </c>
      <c r="J83" s="21">
        <v>12918</v>
      </c>
      <c r="K83" s="21">
        <v>12439</v>
      </c>
      <c r="L83" s="21">
        <v>4666248.4799999995</v>
      </c>
      <c r="M83" s="21">
        <v>6100000</v>
      </c>
      <c r="N83" s="22">
        <f t="shared" si="13"/>
        <v>1.0391302751230374</v>
      </c>
      <c r="O83" s="22">
        <f t="shared" si="14"/>
        <v>0.82926666666666671</v>
      </c>
    </row>
    <row r="84" spans="1:15" x14ac:dyDescent="0.3">
      <c r="B84" s="16" t="s">
        <v>186</v>
      </c>
      <c r="C84" s="17" t="s">
        <v>6</v>
      </c>
      <c r="D84" s="17" t="s">
        <v>10</v>
      </c>
      <c r="E84" s="18">
        <v>45775</v>
      </c>
      <c r="F84" s="19">
        <v>4</v>
      </c>
      <c r="G84" s="18">
        <v>46498</v>
      </c>
      <c r="H84" s="20">
        <v>3</v>
      </c>
      <c r="I84" s="21">
        <v>21314229.440000013</v>
      </c>
      <c r="J84" s="21">
        <v>75967</v>
      </c>
      <c r="K84" s="21">
        <v>62163</v>
      </c>
      <c r="L84" s="21">
        <v>22908551.210000001</v>
      </c>
      <c r="M84" s="21">
        <v>27500000</v>
      </c>
      <c r="N84" s="22">
        <f t="shared" si="13"/>
        <v>1.0748008167261236</v>
      </c>
      <c r="O84" s="22">
        <f t="shared" si="14"/>
        <v>0.82884000000000002</v>
      </c>
    </row>
    <row r="85" spans="1:15" x14ac:dyDescent="0.3">
      <c r="B85" s="16" t="s">
        <v>198</v>
      </c>
      <c r="C85" s="17" t="s">
        <v>6</v>
      </c>
      <c r="D85" s="17" t="s">
        <v>3</v>
      </c>
      <c r="E85" s="18">
        <v>45772</v>
      </c>
      <c r="F85" s="19">
        <v>4</v>
      </c>
      <c r="G85" s="94">
        <f t="shared" ref="G85:G87" si="17">EDATE(E85,15)</f>
        <v>46228</v>
      </c>
      <c r="H85" s="20">
        <v>1</v>
      </c>
      <c r="I85" s="21">
        <v>1560915.6300000008</v>
      </c>
      <c r="J85" s="21">
        <v>4448</v>
      </c>
      <c r="K85" s="21">
        <v>4143</v>
      </c>
      <c r="L85" s="21">
        <v>1671723.94</v>
      </c>
      <c r="M85" s="21">
        <v>3000000</v>
      </c>
      <c r="N85" s="22">
        <f t="shared" si="13"/>
        <v>1.0709893013243765</v>
      </c>
      <c r="O85" s="22">
        <f t="shared" si="14"/>
        <v>0.8286</v>
      </c>
    </row>
    <row r="86" spans="1:15" x14ac:dyDescent="0.3">
      <c r="B86" s="16" t="s">
        <v>85</v>
      </c>
      <c r="C86" s="17" t="s">
        <v>86</v>
      </c>
      <c r="D86" s="17" t="s">
        <v>3</v>
      </c>
      <c r="E86" s="18">
        <v>45742</v>
      </c>
      <c r="F86" s="19">
        <v>3</v>
      </c>
      <c r="G86" s="94">
        <f t="shared" si="17"/>
        <v>46199</v>
      </c>
      <c r="H86" s="20">
        <v>1</v>
      </c>
      <c r="I86" s="21">
        <v>1454557.2699999991</v>
      </c>
      <c r="J86" s="21">
        <v>4119</v>
      </c>
      <c r="K86" s="21">
        <v>4119</v>
      </c>
      <c r="L86" s="21">
        <v>1562567.9000000001</v>
      </c>
      <c r="M86" s="21">
        <v>1850000</v>
      </c>
      <c r="N86" s="22">
        <f t="shared" si="13"/>
        <v>1.0742567049285046</v>
      </c>
      <c r="O86" s="22">
        <f t="shared" si="14"/>
        <v>0.82379999999999998</v>
      </c>
    </row>
    <row r="87" spans="1:15" x14ac:dyDescent="0.3">
      <c r="B87" s="16" t="s">
        <v>315</v>
      </c>
      <c r="C87" s="17" t="s">
        <v>2</v>
      </c>
      <c r="D87" s="17" t="s">
        <v>3</v>
      </c>
      <c r="E87" s="18">
        <v>45825</v>
      </c>
      <c r="F87" s="19">
        <v>6</v>
      </c>
      <c r="G87" s="94">
        <f t="shared" si="17"/>
        <v>46282</v>
      </c>
      <c r="H87" s="20">
        <v>1</v>
      </c>
      <c r="I87" s="21">
        <v>1510251.0999999926</v>
      </c>
      <c r="J87" s="21">
        <v>4116</v>
      </c>
      <c r="K87" s="21">
        <v>4116</v>
      </c>
      <c r="L87" s="21">
        <v>1297441.5900000001</v>
      </c>
      <c r="M87" s="21">
        <v>3000000</v>
      </c>
      <c r="N87" s="22">
        <f t="shared" si="13"/>
        <v>0.85908998179177387</v>
      </c>
      <c r="O87" s="22">
        <f t="shared" si="14"/>
        <v>0.82320000000000004</v>
      </c>
    </row>
    <row r="88" spans="1:15" x14ac:dyDescent="0.3">
      <c r="B88" s="16" t="s">
        <v>71</v>
      </c>
      <c r="C88" s="17" t="s">
        <v>9</v>
      </c>
      <c r="D88" s="17" t="s">
        <v>3</v>
      </c>
      <c r="E88" s="18">
        <v>45735</v>
      </c>
      <c r="F88" s="19">
        <v>3</v>
      </c>
      <c r="G88" s="18">
        <v>46248</v>
      </c>
      <c r="H88" s="20">
        <v>2</v>
      </c>
      <c r="I88" s="21">
        <v>2964149.8099999954</v>
      </c>
      <c r="J88" s="21">
        <v>8986</v>
      </c>
      <c r="K88" s="21">
        <v>8133</v>
      </c>
      <c r="L88" s="21">
        <v>3359507.6</v>
      </c>
      <c r="M88" s="21">
        <v>6000000</v>
      </c>
      <c r="N88" s="22">
        <f t="shared" si="13"/>
        <v>1.1333798273846372</v>
      </c>
      <c r="O88" s="22">
        <f t="shared" si="14"/>
        <v>0.81330000000000002</v>
      </c>
    </row>
    <row r="89" spans="1:15" x14ac:dyDescent="0.3">
      <c r="B89" s="16" t="s">
        <v>356</v>
      </c>
      <c r="C89" s="17" t="s">
        <v>16</v>
      </c>
      <c r="D89" s="17" t="s">
        <v>3</v>
      </c>
      <c r="E89" s="18">
        <v>45854</v>
      </c>
      <c r="F89" s="19">
        <v>7</v>
      </c>
      <c r="G89" s="94">
        <f>EDATE(E89,15)</f>
        <v>46311</v>
      </c>
      <c r="H89" s="20">
        <v>1</v>
      </c>
      <c r="I89" s="21">
        <v>1467741.6599999997</v>
      </c>
      <c r="J89" s="21">
        <v>4028</v>
      </c>
      <c r="K89" s="21">
        <v>4025</v>
      </c>
      <c r="L89" s="21">
        <v>1505371.1900000002</v>
      </c>
      <c r="M89" s="21">
        <v>2203119.31</v>
      </c>
      <c r="N89" s="22">
        <f t="shared" si="13"/>
        <v>1.0256377065702424</v>
      </c>
      <c r="O89" s="22">
        <f t="shared" si="14"/>
        <v>0.80500000000000005</v>
      </c>
    </row>
    <row r="90" spans="1:15" x14ac:dyDescent="0.3">
      <c r="B90" s="16" t="s">
        <v>100</v>
      </c>
      <c r="C90" s="17" t="s">
        <v>13</v>
      </c>
      <c r="D90" s="17" t="s">
        <v>3</v>
      </c>
      <c r="E90" s="18">
        <v>45730</v>
      </c>
      <c r="F90" s="19">
        <v>3</v>
      </c>
      <c r="G90" s="18">
        <v>46464</v>
      </c>
      <c r="H90" s="20">
        <v>2</v>
      </c>
      <c r="I90" s="21">
        <v>3115019.5699999975</v>
      </c>
      <c r="J90" s="21">
        <v>8029</v>
      </c>
      <c r="K90" s="21">
        <v>8029</v>
      </c>
      <c r="L90" s="21">
        <v>3224510.0500000003</v>
      </c>
      <c r="M90" s="21">
        <v>6240000</v>
      </c>
      <c r="N90" s="22">
        <f t="shared" si="13"/>
        <v>1.0351492109566436</v>
      </c>
      <c r="O90" s="22">
        <f t="shared" si="14"/>
        <v>0.80289999999999995</v>
      </c>
    </row>
    <row r="91" spans="1:15" x14ac:dyDescent="0.3">
      <c r="B91" s="16" t="s">
        <v>313</v>
      </c>
      <c r="C91" s="17" t="s">
        <v>170</v>
      </c>
      <c r="D91" s="17" t="s">
        <v>3</v>
      </c>
      <c r="E91" s="18">
        <v>45838</v>
      </c>
      <c r="F91" s="19">
        <v>6</v>
      </c>
      <c r="G91" s="94">
        <f t="shared" ref="G91:G92" si="18">EDATE(E91,15)</f>
        <v>46295</v>
      </c>
      <c r="H91" s="20">
        <v>1</v>
      </c>
      <c r="I91" s="21">
        <v>1553175.089999998</v>
      </c>
      <c r="J91" s="21">
        <v>3998</v>
      </c>
      <c r="K91" s="21">
        <v>3998</v>
      </c>
      <c r="L91" s="21">
        <v>1743481.49</v>
      </c>
      <c r="M91" s="21">
        <v>2850000</v>
      </c>
      <c r="N91" s="22">
        <f t="shared" si="13"/>
        <v>1.1225273320601621</v>
      </c>
      <c r="O91" s="22">
        <f t="shared" si="14"/>
        <v>0.79959999999999998</v>
      </c>
    </row>
    <row r="92" spans="1:15" x14ac:dyDescent="0.3">
      <c r="B92" s="16" t="s">
        <v>256</v>
      </c>
      <c r="C92" s="17" t="s">
        <v>42</v>
      </c>
      <c r="D92" s="17" t="s">
        <v>17</v>
      </c>
      <c r="E92" s="18">
        <v>45796</v>
      </c>
      <c r="F92" s="19">
        <v>5</v>
      </c>
      <c r="G92" s="94">
        <f t="shared" si="18"/>
        <v>46253</v>
      </c>
      <c r="H92" s="20">
        <v>1</v>
      </c>
      <c r="I92" s="21">
        <v>5208120.740000003</v>
      </c>
      <c r="J92" s="21">
        <v>11997</v>
      </c>
      <c r="K92" s="21">
        <v>11977</v>
      </c>
      <c r="L92" s="21">
        <v>5505166.4200000009</v>
      </c>
      <c r="M92" s="21">
        <v>6378500</v>
      </c>
      <c r="N92" s="22">
        <f t="shared" si="13"/>
        <v>1.057035098614092</v>
      </c>
      <c r="O92" s="22">
        <f t="shared" si="14"/>
        <v>0.79846666666666666</v>
      </c>
    </row>
    <row r="93" spans="1:15" x14ac:dyDescent="0.3">
      <c r="B93" s="16" t="s">
        <v>29</v>
      </c>
      <c r="C93" s="17" t="s">
        <v>13</v>
      </c>
      <c r="D93" s="17" t="s">
        <v>3</v>
      </c>
      <c r="E93" s="18">
        <v>45708</v>
      </c>
      <c r="F93" s="19">
        <v>2</v>
      </c>
      <c r="G93" s="18">
        <v>46446</v>
      </c>
      <c r="H93" s="20">
        <v>2</v>
      </c>
      <c r="I93" s="21">
        <v>3007071.2400000221</v>
      </c>
      <c r="J93" s="21">
        <v>8117</v>
      </c>
      <c r="K93" s="21">
        <v>7932</v>
      </c>
      <c r="L93" s="21">
        <v>3172615.4600000004</v>
      </c>
      <c r="M93" s="21">
        <v>4000000</v>
      </c>
      <c r="N93" s="22">
        <f t="shared" si="13"/>
        <v>1.0550516455340038</v>
      </c>
      <c r="O93" s="22">
        <f t="shared" si="14"/>
        <v>0.79320000000000002</v>
      </c>
    </row>
    <row r="94" spans="1:15" x14ac:dyDescent="0.3">
      <c r="B94" s="16" t="s">
        <v>163</v>
      </c>
      <c r="C94" s="17" t="s">
        <v>2</v>
      </c>
      <c r="D94" s="17" t="s">
        <v>3</v>
      </c>
      <c r="E94" s="18">
        <v>45756</v>
      </c>
      <c r="F94" s="19">
        <v>4</v>
      </c>
      <c r="G94" s="18">
        <v>46486</v>
      </c>
      <c r="H94" s="20">
        <v>2</v>
      </c>
      <c r="I94" s="21">
        <v>2808683.4499999965</v>
      </c>
      <c r="J94" s="21">
        <v>8394</v>
      </c>
      <c r="K94" s="21">
        <v>7905</v>
      </c>
      <c r="L94" s="21">
        <v>2942458.84</v>
      </c>
      <c r="M94" s="21">
        <v>3950000</v>
      </c>
      <c r="N94" s="22">
        <f t="shared" si="13"/>
        <v>1.0476292157451932</v>
      </c>
      <c r="O94" s="22">
        <f t="shared" si="14"/>
        <v>0.79049999999999998</v>
      </c>
    </row>
    <row r="95" spans="1:15" x14ac:dyDescent="0.3">
      <c r="B95" s="16" t="s">
        <v>73</v>
      </c>
      <c r="C95" s="17" t="s">
        <v>2</v>
      </c>
      <c r="D95" s="17" t="s">
        <v>3</v>
      </c>
      <c r="E95" s="18">
        <v>45733</v>
      </c>
      <c r="F95" s="19">
        <v>3</v>
      </c>
      <c r="G95" s="18">
        <v>46361</v>
      </c>
      <c r="H95" s="20">
        <v>2</v>
      </c>
      <c r="I95" s="21">
        <v>2708700.6299999943</v>
      </c>
      <c r="J95" s="21">
        <v>8675</v>
      </c>
      <c r="K95" s="21">
        <v>7839</v>
      </c>
      <c r="L95" s="21">
        <v>3075292.4700000007</v>
      </c>
      <c r="M95" s="21">
        <v>3640000</v>
      </c>
      <c r="N95" s="22">
        <f t="shared" si="13"/>
        <v>1.1353386328263257</v>
      </c>
      <c r="O95" s="22">
        <f t="shared" si="14"/>
        <v>0.78390000000000004</v>
      </c>
    </row>
    <row r="96" spans="1:15" x14ac:dyDescent="0.3">
      <c r="B96" s="16" t="s">
        <v>96</v>
      </c>
      <c r="C96" s="17" t="s">
        <v>6</v>
      </c>
      <c r="D96" s="17" t="s">
        <v>10</v>
      </c>
      <c r="E96" s="18">
        <v>45723</v>
      </c>
      <c r="F96" s="19">
        <v>3</v>
      </c>
      <c r="G96" s="18">
        <v>46386</v>
      </c>
      <c r="H96" s="20">
        <v>2</v>
      </c>
      <c r="I96" s="21">
        <v>15450394.700000104</v>
      </c>
      <c r="J96" s="21">
        <v>46050</v>
      </c>
      <c r="K96" s="21">
        <v>39045</v>
      </c>
      <c r="L96" s="21">
        <v>16505465.370000001</v>
      </c>
      <c r="M96" s="21">
        <v>27500000</v>
      </c>
      <c r="N96" s="22">
        <f t="shared" si="13"/>
        <v>1.068287619215313</v>
      </c>
      <c r="O96" s="22">
        <f t="shared" si="14"/>
        <v>0.78090000000000004</v>
      </c>
    </row>
    <row r="97" spans="2:15" x14ac:dyDescent="0.3">
      <c r="B97" s="16" t="s">
        <v>253</v>
      </c>
      <c r="C97" s="17" t="s">
        <v>6</v>
      </c>
      <c r="D97" s="17" t="s">
        <v>3</v>
      </c>
      <c r="E97" s="18">
        <v>45783</v>
      </c>
      <c r="F97" s="19">
        <v>5</v>
      </c>
      <c r="G97" s="94">
        <f t="shared" ref="G97:G98" si="19">EDATE(E97,15)</f>
        <v>46240</v>
      </c>
      <c r="H97" s="20">
        <v>1</v>
      </c>
      <c r="I97" s="21">
        <v>1604344.9099999992</v>
      </c>
      <c r="J97" s="21">
        <v>4270</v>
      </c>
      <c r="K97" s="21">
        <v>3889</v>
      </c>
      <c r="L97" s="21">
        <v>1814333.96</v>
      </c>
      <c r="M97" s="21">
        <v>3000000</v>
      </c>
      <c r="N97" s="22">
        <f t="shared" si="13"/>
        <v>1.1308877216433471</v>
      </c>
      <c r="O97" s="22">
        <f t="shared" si="14"/>
        <v>0.77780000000000005</v>
      </c>
    </row>
    <row r="98" spans="2:15" x14ac:dyDescent="0.3">
      <c r="B98" s="16" t="s">
        <v>91</v>
      </c>
      <c r="C98" s="17" t="s">
        <v>2</v>
      </c>
      <c r="D98" s="17" t="s">
        <v>17</v>
      </c>
      <c r="E98" s="18">
        <v>45747</v>
      </c>
      <c r="F98" s="19">
        <v>3</v>
      </c>
      <c r="G98" s="94">
        <f t="shared" si="19"/>
        <v>46203</v>
      </c>
      <c r="H98" s="20">
        <v>1</v>
      </c>
      <c r="I98" s="21">
        <v>4395043.6199999982</v>
      </c>
      <c r="J98" s="21">
        <v>13317</v>
      </c>
      <c r="K98" s="21">
        <v>11653</v>
      </c>
      <c r="L98" s="21">
        <v>4790000</v>
      </c>
      <c r="M98" s="21">
        <v>6000000</v>
      </c>
      <c r="N98" s="22">
        <f t="shared" si="13"/>
        <v>1.089864040985332</v>
      </c>
      <c r="O98" s="22">
        <f t="shared" si="14"/>
        <v>0.77686666666666671</v>
      </c>
    </row>
    <row r="99" spans="2:15" x14ac:dyDescent="0.3">
      <c r="B99" s="16" t="s">
        <v>77</v>
      </c>
      <c r="C99" s="17" t="s">
        <v>6</v>
      </c>
      <c r="D99" s="17" t="s">
        <v>10</v>
      </c>
      <c r="E99" s="18">
        <v>45720</v>
      </c>
      <c r="F99" s="19">
        <v>3</v>
      </c>
      <c r="G99" s="18">
        <v>46305</v>
      </c>
      <c r="H99" s="20">
        <v>2</v>
      </c>
      <c r="I99" s="21">
        <v>13482786.419999942</v>
      </c>
      <c r="J99" s="21">
        <v>48247</v>
      </c>
      <c r="K99" s="21">
        <v>38803</v>
      </c>
      <c r="L99" s="21">
        <v>14827774.420000002</v>
      </c>
      <c r="M99" s="21">
        <v>24411123.819999997</v>
      </c>
      <c r="N99" s="22">
        <f t="shared" si="13"/>
        <v>1.0997559375415862</v>
      </c>
      <c r="O99" s="22">
        <f t="shared" si="14"/>
        <v>0.77605999999999997</v>
      </c>
    </row>
    <row r="100" spans="2:15" x14ac:dyDescent="0.3">
      <c r="B100" s="16" t="s">
        <v>408</v>
      </c>
      <c r="C100" s="17" t="s">
        <v>6</v>
      </c>
      <c r="D100" s="17" t="s">
        <v>10</v>
      </c>
      <c r="E100" s="18">
        <v>46036</v>
      </c>
      <c r="F100" s="19" t="s">
        <v>409</v>
      </c>
      <c r="G100" s="94">
        <f>EDATE(E100,15)</f>
        <v>46491</v>
      </c>
      <c r="H100" s="20">
        <v>1</v>
      </c>
      <c r="I100" s="24">
        <v>6534344.4300000016</v>
      </c>
      <c r="J100" s="24">
        <v>23777</v>
      </c>
      <c r="K100" s="24">
        <v>19320</v>
      </c>
      <c r="L100" s="21">
        <v>6952076.9500000002</v>
      </c>
      <c r="M100" s="21">
        <v>9250000</v>
      </c>
      <c r="N100" s="22">
        <f t="shared" si="13"/>
        <v>1.0639287574254788</v>
      </c>
      <c r="O100" s="22">
        <f t="shared" si="14"/>
        <v>0.77280000000000004</v>
      </c>
    </row>
    <row r="101" spans="2:15" x14ac:dyDescent="0.3">
      <c r="B101" s="16" t="s">
        <v>196</v>
      </c>
      <c r="C101" s="17" t="s">
        <v>6</v>
      </c>
      <c r="D101" s="17" t="s">
        <v>3</v>
      </c>
      <c r="E101" s="18">
        <v>45748</v>
      </c>
      <c r="F101" s="19">
        <v>4</v>
      </c>
      <c r="G101" s="18">
        <v>46472</v>
      </c>
      <c r="H101" s="20">
        <v>2</v>
      </c>
      <c r="I101" s="21">
        <v>2798158.649999999</v>
      </c>
      <c r="J101" s="21">
        <v>8270</v>
      </c>
      <c r="K101" s="21">
        <v>7716</v>
      </c>
      <c r="L101" s="21">
        <v>3040447.31</v>
      </c>
      <c r="M101" s="21">
        <v>4546612.3599999994</v>
      </c>
      <c r="N101" s="22">
        <f t="shared" si="13"/>
        <v>1.0865886071184709</v>
      </c>
      <c r="O101" s="22">
        <f t="shared" si="14"/>
        <v>0.77159999999999995</v>
      </c>
    </row>
    <row r="102" spans="2:15" x14ac:dyDescent="0.3">
      <c r="B102" s="16" t="s">
        <v>104</v>
      </c>
      <c r="C102" s="17" t="s">
        <v>36</v>
      </c>
      <c r="D102" s="17" t="s">
        <v>3</v>
      </c>
      <c r="E102" s="18">
        <v>45742</v>
      </c>
      <c r="F102" s="19">
        <v>3</v>
      </c>
      <c r="G102" s="18">
        <v>46472</v>
      </c>
      <c r="H102" s="20">
        <v>2</v>
      </c>
      <c r="I102" s="21">
        <v>2807892.3899999983</v>
      </c>
      <c r="J102" s="21">
        <v>7684</v>
      </c>
      <c r="K102" s="21">
        <v>7656</v>
      </c>
      <c r="L102" s="21">
        <v>3027564.64</v>
      </c>
      <c r="M102" s="21">
        <v>4260000</v>
      </c>
      <c r="N102" s="22">
        <f t="shared" si="13"/>
        <v>1.0782338563907721</v>
      </c>
      <c r="O102" s="22">
        <f t="shared" si="14"/>
        <v>0.76559999999999995</v>
      </c>
    </row>
    <row r="103" spans="2:15" x14ac:dyDescent="0.3">
      <c r="B103" s="16" t="s">
        <v>151</v>
      </c>
      <c r="C103" s="17" t="s">
        <v>9</v>
      </c>
      <c r="D103" s="17" t="s">
        <v>3</v>
      </c>
      <c r="E103" s="18">
        <v>45769</v>
      </c>
      <c r="F103" s="19">
        <v>4</v>
      </c>
      <c r="G103" s="18">
        <v>46505</v>
      </c>
      <c r="H103" s="20">
        <v>2</v>
      </c>
      <c r="I103" s="21">
        <v>2739995.1099999975</v>
      </c>
      <c r="J103" s="21">
        <v>8530</v>
      </c>
      <c r="K103" s="21">
        <v>7618</v>
      </c>
      <c r="L103" s="21">
        <v>3087163.4</v>
      </c>
      <c r="M103" s="21">
        <v>4000000</v>
      </c>
      <c r="N103" s="22">
        <f t="shared" si="13"/>
        <v>1.1267039815994426</v>
      </c>
      <c r="O103" s="22">
        <f t="shared" si="14"/>
        <v>0.76180000000000003</v>
      </c>
    </row>
    <row r="104" spans="2:15" x14ac:dyDescent="0.3">
      <c r="B104" s="16" t="s">
        <v>33</v>
      </c>
      <c r="C104" s="17" t="s">
        <v>16</v>
      </c>
      <c r="D104" s="17" t="s">
        <v>17</v>
      </c>
      <c r="E104" s="18">
        <v>45716</v>
      </c>
      <c r="F104" s="19">
        <v>2</v>
      </c>
      <c r="G104" s="94">
        <f>EDATE(E104,18)</f>
        <v>46262</v>
      </c>
      <c r="H104" s="20">
        <v>1</v>
      </c>
      <c r="I104" s="21">
        <v>4115974.5800000015</v>
      </c>
      <c r="J104" s="21">
        <v>11088</v>
      </c>
      <c r="K104" s="21">
        <v>11045</v>
      </c>
      <c r="L104" s="21">
        <v>4469291.4800000014</v>
      </c>
      <c r="M104" s="21">
        <v>7000000</v>
      </c>
      <c r="N104" s="22">
        <f t="shared" si="13"/>
        <v>1.0858403989462928</v>
      </c>
      <c r="O104" s="22">
        <f t="shared" si="14"/>
        <v>0.73633333333333328</v>
      </c>
    </row>
    <row r="105" spans="2:15" x14ac:dyDescent="0.3">
      <c r="B105" s="16" t="s">
        <v>361</v>
      </c>
      <c r="C105" s="17" t="s">
        <v>13</v>
      </c>
      <c r="D105" s="17" t="s">
        <v>10</v>
      </c>
      <c r="E105" s="18">
        <v>45859</v>
      </c>
      <c r="F105" s="19">
        <v>7</v>
      </c>
      <c r="G105" s="94">
        <f t="shared" ref="G105" si="20">EDATE(E105,15)</f>
        <v>46316</v>
      </c>
      <c r="H105" s="20">
        <v>1</v>
      </c>
      <c r="I105" s="21">
        <v>5954053.9400000023</v>
      </c>
      <c r="J105" s="21">
        <v>20195</v>
      </c>
      <c r="K105" s="21">
        <v>18301</v>
      </c>
      <c r="L105" s="21">
        <v>5979270.21</v>
      </c>
      <c r="M105" s="21">
        <v>9000000.0199999996</v>
      </c>
      <c r="N105" s="22">
        <f t="shared" si="13"/>
        <v>1.0042351430225702</v>
      </c>
      <c r="O105" s="22">
        <f t="shared" si="14"/>
        <v>0.73204000000000002</v>
      </c>
    </row>
    <row r="106" spans="2:15" x14ac:dyDescent="0.3">
      <c r="B106" s="16" t="s">
        <v>167</v>
      </c>
      <c r="C106" s="17" t="s">
        <v>6</v>
      </c>
      <c r="D106" s="17" t="s">
        <v>3</v>
      </c>
      <c r="E106" s="18">
        <v>45775</v>
      </c>
      <c r="F106" s="19">
        <v>4</v>
      </c>
      <c r="G106" s="18">
        <v>46504</v>
      </c>
      <c r="H106" s="20">
        <v>2</v>
      </c>
      <c r="I106" s="21">
        <v>2486628.2000000007</v>
      </c>
      <c r="J106" s="21">
        <v>7858</v>
      </c>
      <c r="K106" s="21">
        <v>7293</v>
      </c>
      <c r="L106" s="21">
        <v>2603213.5099999993</v>
      </c>
      <c r="M106" s="21">
        <v>3000000</v>
      </c>
      <c r="N106" s="22">
        <f t="shared" si="13"/>
        <v>1.0468848981926604</v>
      </c>
      <c r="O106" s="22">
        <f t="shared" si="14"/>
        <v>0.72929999999999995</v>
      </c>
    </row>
    <row r="107" spans="2:15" x14ac:dyDescent="0.3">
      <c r="B107" s="16" t="s">
        <v>229</v>
      </c>
      <c r="C107" s="17" t="s">
        <v>133</v>
      </c>
      <c r="D107" s="17" t="s">
        <v>10</v>
      </c>
      <c r="E107" s="18">
        <v>45798</v>
      </c>
      <c r="F107" s="19">
        <v>5</v>
      </c>
      <c r="G107" s="18">
        <v>46535</v>
      </c>
      <c r="H107" s="20">
        <v>2</v>
      </c>
      <c r="I107" s="21">
        <v>12986947.490000015</v>
      </c>
      <c r="J107" s="21">
        <v>43443</v>
      </c>
      <c r="K107" s="21">
        <v>36216</v>
      </c>
      <c r="L107" s="21">
        <v>13725622.34</v>
      </c>
      <c r="M107" s="21">
        <v>20018000</v>
      </c>
      <c r="N107" s="22">
        <f t="shared" si="13"/>
        <v>1.0568782503023721</v>
      </c>
      <c r="O107" s="22">
        <f t="shared" si="14"/>
        <v>0.72431999999999996</v>
      </c>
    </row>
    <row r="108" spans="2:15" x14ac:dyDescent="0.3">
      <c r="B108" s="16" t="s">
        <v>383</v>
      </c>
      <c r="C108" s="17" t="s">
        <v>42</v>
      </c>
      <c r="D108" s="17" t="s">
        <v>17</v>
      </c>
      <c r="E108" s="18">
        <v>45889</v>
      </c>
      <c r="F108" s="19">
        <v>8</v>
      </c>
      <c r="G108" s="94">
        <f t="shared" ref="G108:G109" si="21">EDATE(E108,15)</f>
        <v>46346</v>
      </c>
      <c r="H108" s="20">
        <v>1</v>
      </c>
      <c r="I108" s="21">
        <v>3955533.4700000104</v>
      </c>
      <c r="J108" s="21">
        <v>11929</v>
      </c>
      <c r="K108" s="21">
        <v>10709</v>
      </c>
      <c r="L108" s="21">
        <v>4201451.54</v>
      </c>
      <c r="M108" s="21">
        <v>6000000</v>
      </c>
      <c r="N108" s="22">
        <f t="shared" si="13"/>
        <v>1.0621706457207627</v>
      </c>
      <c r="O108" s="22">
        <f t="shared" si="14"/>
        <v>0.71393333333333331</v>
      </c>
    </row>
    <row r="109" spans="2:15" x14ac:dyDescent="0.3">
      <c r="B109" s="16" t="s">
        <v>257</v>
      </c>
      <c r="C109" s="17" t="s">
        <v>70</v>
      </c>
      <c r="D109" s="17" t="s">
        <v>10</v>
      </c>
      <c r="E109" s="18">
        <v>45803</v>
      </c>
      <c r="F109" s="19">
        <v>5</v>
      </c>
      <c r="G109" s="94">
        <f t="shared" si="21"/>
        <v>46260</v>
      </c>
      <c r="H109" s="20">
        <v>1</v>
      </c>
      <c r="I109" s="21">
        <v>6254257.8199999919</v>
      </c>
      <c r="J109" s="21">
        <v>19312</v>
      </c>
      <c r="K109" s="21">
        <v>17528</v>
      </c>
      <c r="L109" s="21">
        <v>6699117.0499999998</v>
      </c>
      <c r="M109" s="21">
        <v>9000000</v>
      </c>
      <c r="N109" s="22">
        <f t="shared" si="13"/>
        <v>1.0711290200697241</v>
      </c>
      <c r="O109" s="22">
        <f t="shared" si="14"/>
        <v>0.70111999999999997</v>
      </c>
    </row>
    <row r="110" spans="2:15" x14ac:dyDescent="0.3">
      <c r="B110" s="16" t="s">
        <v>172</v>
      </c>
      <c r="C110" s="17" t="s">
        <v>2</v>
      </c>
      <c r="D110" s="17" t="s">
        <v>10</v>
      </c>
      <c r="E110" s="18">
        <v>45754</v>
      </c>
      <c r="F110" s="19">
        <v>4</v>
      </c>
      <c r="G110" s="18">
        <v>46487</v>
      </c>
      <c r="H110" s="20">
        <v>2</v>
      </c>
      <c r="I110" s="21">
        <v>11686807.920000004</v>
      </c>
      <c r="J110" s="21">
        <v>41200</v>
      </c>
      <c r="K110" s="21">
        <v>34717</v>
      </c>
      <c r="L110" s="21">
        <v>11512692.74</v>
      </c>
      <c r="M110" s="21">
        <v>15000000</v>
      </c>
      <c r="N110" s="22">
        <f t="shared" si="13"/>
        <v>0.98510156227501311</v>
      </c>
      <c r="O110" s="22">
        <f t="shared" si="14"/>
        <v>0.69433999999999996</v>
      </c>
    </row>
    <row r="111" spans="2:15" x14ac:dyDescent="0.3">
      <c r="B111" s="16" t="s">
        <v>515</v>
      </c>
      <c r="C111" s="17" t="s">
        <v>36</v>
      </c>
      <c r="D111" s="17" t="s">
        <v>17</v>
      </c>
      <c r="E111" s="18">
        <v>45789</v>
      </c>
      <c r="F111" s="19">
        <v>5</v>
      </c>
      <c r="G111" s="94">
        <f t="shared" ref="G111:G112" si="22">EDATE(E111,15)</f>
        <v>46246</v>
      </c>
      <c r="H111" s="20">
        <v>1</v>
      </c>
      <c r="I111" s="21">
        <v>3619926.9700000049</v>
      </c>
      <c r="J111" s="21">
        <v>12482</v>
      </c>
      <c r="K111" s="21">
        <v>10219</v>
      </c>
      <c r="L111" s="21">
        <v>4024130.7300000004</v>
      </c>
      <c r="M111" s="21">
        <v>6000000</v>
      </c>
      <c r="N111" s="22">
        <f t="shared" si="13"/>
        <v>1.1116607498852373</v>
      </c>
      <c r="O111" s="22">
        <f t="shared" si="14"/>
        <v>0.68126666666666669</v>
      </c>
    </row>
    <row r="112" spans="2:15" x14ac:dyDescent="0.3">
      <c r="B112" s="16" t="s">
        <v>194</v>
      </c>
      <c r="C112" s="17" t="s">
        <v>9</v>
      </c>
      <c r="D112" s="17" t="s">
        <v>17</v>
      </c>
      <c r="E112" s="18">
        <v>45750</v>
      </c>
      <c r="F112" s="19">
        <v>4</v>
      </c>
      <c r="G112" s="94">
        <f t="shared" si="22"/>
        <v>46206</v>
      </c>
      <c r="H112" s="20">
        <v>1</v>
      </c>
      <c r="I112" s="21">
        <v>3565650.4800000023</v>
      </c>
      <c r="J112" s="21">
        <v>11710</v>
      </c>
      <c r="K112" s="21">
        <v>10215</v>
      </c>
      <c r="L112" s="21">
        <v>4058360.2600000002</v>
      </c>
      <c r="M112" s="21">
        <v>6000000</v>
      </c>
      <c r="N112" s="22">
        <f t="shared" si="13"/>
        <v>1.138182298787737</v>
      </c>
      <c r="O112" s="22">
        <f t="shared" si="14"/>
        <v>0.68100000000000005</v>
      </c>
    </row>
    <row r="113" spans="2:15" x14ac:dyDescent="0.3">
      <c r="B113" s="16" t="s">
        <v>93</v>
      </c>
      <c r="C113" s="17" t="s">
        <v>6</v>
      </c>
      <c r="D113" s="17" t="s">
        <v>10</v>
      </c>
      <c r="E113" s="18">
        <v>45744</v>
      </c>
      <c r="F113" s="19">
        <v>3</v>
      </c>
      <c r="G113" s="18" t="s">
        <v>94</v>
      </c>
      <c r="H113" s="20">
        <v>2</v>
      </c>
      <c r="I113" s="21">
        <v>11636782.849999968</v>
      </c>
      <c r="J113" s="21">
        <v>37678</v>
      </c>
      <c r="K113" s="21">
        <v>33777</v>
      </c>
      <c r="L113" s="21">
        <v>12276195.409999998</v>
      </c>
      <c r="M113" s="21">
        <v>15000000</v>
      </c>
      <c r="N113" s="22">
        <f t="shared" si="13"/>
        <v>1.054947537325579</v>
      </c>
      <c r="O113" s="22">
        <f t="shared" si="14"/>
        <v>0.67554000000000003</v>
      </c>
    </row>
    <row r="114" spans="2:15" x14ac:dyDescent="0.3">
      <c r="B114" s="16" t="s">
        <v>360</v>
      </c>
      <c r="C114" s="17" t="s">
        <v>6</v>
      </c>
      <c r="D114" s="17" t="s">
        <v>3</v>
      </c>
      <c r="E114" s="18">
        <v>45849</v>
      </c>
      <c r="F114" s="19">
        <v>7</v>
      </c>
      <c r="G114" s="94">
        <f>EDATE(E114,15)</f>
        <v>46306</v>
      </c>
      <c r="H114" s="20">
        <v>1</v>
      </c>
      <c r="I114" s="21">
        <v>1182321.999999997</v>
      </c>
      <c r="J114" s="21">
        <v>3403</v>
      </c>
      <c r="K114" s="21">
        <v>3353</v>
      </c>
      <c r="L114" s="21">
        <v>1235004.97</v>
      </c>
      <c r="M114" s="21">
        <v>3000000</v>
      </c>
      <c r="N114" s="22">
        <f t="shared" si="13"/>
        <v>1.0445589018896739</v>
      </c>
      <c r="O114" s="22">
        <f t="shared" si="14"/>
        <v>0.67059999999999997</v>
      </c>
    </row>
    <row r="115" spans="2:15" x14ac:dyDescent="0.3">
      <c r="B115" s="16" t="s">
        <v>106</v>
      </c>
      <c r="C115" s="17" t="s">
        <v>13</v>
      </c>
      <c r="D115" s="17" t="s">
        <v>3</v>
      </c>
      <c r="E115" s="18">
        <v>45743</v>
      </c>
      <c r="F115" s="19">
        <v>3</v>
      </c>
      <c r="G115" s="18">
        <v>46472</v>
      </c>
      <c r="H115" s="20">
        <v>2</v>
      </c>
      <c r="I115" s="21">
        <v>2385497.7800000007</v>
      </c>
      <c r="J115" s="21">
        <v>7013</v>
      </c>
      <c r="K115" s="21">
        <v>6578</v>
      </c>
      <c r="L115" s="21">
        <v>2506631.4700000007</v>
      </c>
      <c r="M115" s="21">
        <v>3300369.74</v>
      </c>
      <c r="N115" s="22">
        <f t="shared" si="13"/>
        <v>1.0507792088576162</v>
      </c>
      <c r="O115" s="22">
        <f t="shared" si="14"/>
        <v>0.65780000000000005</v>
      </c>
    </row>
    <row r="116" spans="2:15" x14ac:dyDescent="0.3">
      <c r="B116" s="16" t="s">
        <v>98</v>
      </c>
      <c r="C116" s="17" t="s">
        <v>36</v>
      </c>
      <c r="D116" s="17" t="s">
        <v>10</v>
      </c>
      <c r="E116" s="18">
        <v>45733</v>
      </c>
      <c r="F116" s="19">
        <v>3</v>
      </c>
      <c r="G116" s="94">
        <f t="shared" ref="G116:G117" si="23">EDATE(E116,15)</f>
        <v>46190</v>
      </c>
      <c r="H116" s="20">
        <v>1</v>
      </c>
      <c r="I116" s="21">
        <v>5602788.870000015</v>
      </c>
      <c r="J116" s="21">
        <v>18571</v>
      </c>
      <c r="K116" s="21">
        <v>16437</v>
      </c>
      <c r="L116" s="21">
        <v>4786320.8099999996</v>
      </c>
      <c r="M116" s="21">
        <v>9000000</v>
      </c>
      <c r="N116" s="22">
        <f t="shared" si="13"/>
        <v>0.8542747051612507</v>
      </c>
      <c r="O116" s="22">
        <f t="shared" si="14"/>
        <v>0.65747999999999995</v>
      </c>
    </row>
    <row r="117" spans="2:15" x14ac:dyDescent="0.3">
      <c r="B117" s="16" t="s">
        <v>263</v>
      </c>
      <c r="C117" s="17" t="s">
        <v>2</v>
      </c>
      <c r="D117" s="17" t="s">
        <v>10</v>
      </c>
      <c r="E117" s="18">
        <v>45797</v>
      </c>
      <c r="F117" s="19">
        <v>5</v>
      </c>
      <c r="G117" s="94">
        <f t="shared" si="23"/>
        <v>46254</v>
      </c>
      <c r="H117" s="20">
        <v>1</v>
      </c>
      <c r="I117" s="21">
        <v>5509871.5099999923</v>
      </c>
      <c r="J117" s="21">
        <v>18348</v>
      </c>
      <c r="K117" s="21">
        <v>16425</v>
      </c>
      <c r="L117" s="21">
        <v>5608492.9299999997</v>
      </c>
      <c r="M117" s="21">
        <v>9000000</v>
      </c>
      <c r="N117" s="22">
        <f t="shared" si="13"/>
        <v>1.0178990417146783</v>
      </c>
      <c r="O117" s="22">
        <f t="shared" si="14"/>
        <v>0.65700000000000003</v>
      </c>
    </row>
    <row r="118" spans="2:15" x14ac:dyDescent="0.3">
      <c r="B118" s="16" t="s">
        <v>110</v>
      </c>
      <c r="C118" s="17" t="s">
        <v>2</v>
      </c>
      <c r="D118" s="17" t="s">
        <v>10</v>
      </c>
      <c r="E118" s="18">
        <v>45729</v>
      </c>
      <c r="F118" s="19">
        <v>3</v>
      </c>
      <c r="G118" s="18">
        <v>46326</v>
      </c>
      <c r="H118" s="20">
        <v>2</v>
      </c>
      <c r="I118" s="21">
        <v>11819878.510000033</v>
      </c>
      <c r="J118" s="21">
        <v>38318</v>
      </c>
      <c r="K118" s="21">
        <v>32413</v>
      </c>
      <c r="L118" s="21">
        <v>13550000</v>
      </c>
      <c r="M118" s="21">
        <v>20000000</v>
      </c>
      <c r="N118" s="22">
        <f t="shared" si="13"/>
        <v>1.1463738809613164</v>
      </c>
      <c r="O118" s="22">
        <f t="shared" si="14"/>
        <v>0.64825999999999995</v>
      </c>
    </row>
    <row r="119" spans="2:15" x14ac:dyDescent="0.3">
      <c r="B119" s="16" t="s">
        <v>112</v>
      </c>
      <c r="C119" s="17" t="s">
        <v>9</v>
      </c>
      <c r="D119" s="17" t="s">
        <v>10</v>
      </c>
      <c r="E119" s="18">
        <v>45747</v>
      </c>
      <c r="F119" s="19">
        <v>3</v>
      </c>
      <c r="G119" s="18">
        <v>46472</v>
      </c>
      <c r="H119" s="20">
        <v>2</v>
      </c>
      <c r="I119" s="21">
        <v>10855088.999999996</v>
      </c>
      <c r="J119" s="21">
        <v>32378</v>
      </c>
      <c r="K119" s="21">
        <v>32378</v>
      </c>
      <c r="L119" s="21">
        <v>11621440.819999998</v>
      </c>
      <c r="M119" s="21">
        <v>22940000</v>
      </c>
      <c r="N119" s="22">
        <f t="shared" si="13"/>
        <v>1.0705983912246138</v>
      </c>
      <c r="O119" s="22">
        <f t="shared" si="14"/>
        <v>0.64756000000000002</v>
      </c>
    </row>
    <row r="120" spans="2:15" x14ac:dyDescent="0.3">
      <c r="B120" s="16" t="s">
        <v>102</v>
      </c>
      <c r="C120" s="17" t="s">
        <v>70</v>
      </c>
      <c r="D120" s="17" t="s">
        <v>3</v>
      </c>
      <c r="E120" s="18">
        <v>45733</v>
      </c>
      <c r="F120" s="19">
        <v>3</v>
      </c>
      <c r="G120" s="94">
        <f>EDATE(E120,15)</f>
        <v>46190</v>
      </c>
      <c r="H120" s="20">
        <v>1</v>
      </c>
      <c r="I120" s="21">
        <v>1101420.5799999998</v>
      </c>
      <c r="J120" s="21">
        <v>3172</v>
      </c>
      <c r="K120" s="21">
        <v>3172</v>
      </c>
      <c r="L120" s="21">
        <v>1253141.04</v>
      </c>
      <c r="M120" s="21">
        <v>2589700</v>
      </c>
      <c r="N120" s="22">
        <f t="shared" si="13"/>
        <v>1.1377497958136937</v>
      </c>
      <c r="O120" s="22">
        <f t="shared" si="14"/>
        <v>0.63439999999999996</v>
      </c>
    </row>
    <row r="121" spans="2:15" x14ac:dyDescent="0.3">
      <c r="B121" s="16" t="s">
        <v>35</v>
      </c>
      <c r="C121" s="17" t="s">
        <v>36</v>
      </c>
      <c r="D121" s="17" t="s">
        <v>3</v>
      </c>
      <c r="E121" s="18">
        <v>45715</v>
      </c>
      <c r="F121" s="19">
        <v>2</v>
      </c>
      <c r="G121" s="18">
        <v>46312</v>
      </c>
      <c r="H121" s="20">
        <v>2</v>
      </c>
      <c r="I121" s="21">
        <v>2556921.0400000019</v>
      </c>
      <c r="J121" s="21">
        <v>6768</v>
      </c>
      <c r="K121" s="21">
        <v>6218</v>
      </c>
      <c r="L121" s="21">
        <v>2820990.16</v>
      </c>
      <c r="M121" s="21">
        <v>3000000</v>
      </c>
      <c r="N121" s="22">
        <f t="shared" si="13"/>
        <v>1.1032762122368855</v>
      </c>
      <c r="O121" s="22">
        <f t="shared" si="14"/>
        <v>0.62180000000000002</v>
      </c>
    </row>
    <row r="122" spans="2:15" x14ac:dyDescent="0.3">
      <c r="B122" s="16" t="s">
        <v>319</v>
      </c>
      <c r="C122" s="17" t="s">
        <v>2</v>
      </c>
      <c r="D122" s="17" t="s">
        <v>3</v>
      </c>
      <c r="E122" s="18">
        <v>45832</v>
      </c>
      <c r="F122" s="19">
        <v>6</v>
      </c>
      <c r="G122" s="94">
        <f t="shared" ref="G122:G125" si="24">EDATE(E122,15)</f>
        <v>46289</v>
      </c>
      <c r="H122" s="20">
        <v>1</v>
      </c>
      <c r="I122" s="21">
        <v>1054487.0200000012</v>
      </c>
      <c r="J122" s="21">
        <v>3183</v>
      </c>
      <c r="K122" s="21">
        <v>3109</v>
      </c>
      <c r="L122" s="21">
        <v>1117080.28</v>
      </c>
      <c r="M122" s="21">
        <v>3000000</v>
      </c>
      <c r="N122" s="22">
        <f t="shared" si="13"/>
        <v>1.0593589667893673</v>
      </c>
      <c r="O122" s="22">
        <f t="shared" si="14"/>
        <v>0.62180000000000002</v>
      </c>
    </row>
    <row r="123" spans="2:15" x14ac:dyDescent="0.3">
      <c r="B123" s="16" t="s">
        <v>399</v>
      </c>
      <c r="C123" s="17" t="s">
        <v>389</v>
      </c>
      <c r="D123" s="17" t="s">
        <v>3</v>
      </c>
      <c r="E123" s="18">
        <v>45951</v>
      </c>
      <c r="F123" s="19">
        <v>10</v>
      </c>
      <c r="G123" s="94">
        <f t="shared" si="24"/>
        <v>46408</v>
      </c>
      <c r="H123" s="20">
        <v>1</v>
      </c>
      <c r="I123" s="24">
        <v>1140990.9799999997</v>
      </c>
      <c r="J123" s="24">
        <v>3388</v>
      </c>
      <c r="K123" s="24">
        <v>3109</v>
      </c>
      <c r="L123" s="21">
        <v>1270746.2200000002</v>
      </c>
      <c r="M123" s="21">
        <v>2500000</v>
      </c>
      <c r="N123" s="22">
        <f t="shared" si="13"/>
        <v>1.1137215300334806</v>
      </c>
      <c r="O123" s="22">
        <f t="shared" si="14"/>
        <v>0.62180000000000002</v>
      </c>
    </row>
    <row r="124" spans="2:15" x14ac:dyDescent="0.3">
      <c r="B124" s="16" t="s">
        <v>114</v>
      </c>
      <c r="C124" s="17" t="s">
        <v>6</v>
      </c>
      <c r="D124" s="17" t="s">
        <v>10</v>
      </c>
      <c r="E124" s="18">
        <v>45723</v>
      </c>
      <c r="F124" s="19">
        <v>3</v>
      </c>
      <c r="G124" s="94">
        <f t="shared" si="24"/>
        <v>46180</v>
      </c>
      <c r="H124" s="20">
        <v>1</v>
      </c>
      <c r="I124" s="21">
        <v>5348453.1700000158</v>
      </c>
      <c r="J124" s="21">
        <v>17629</v>
      </c>
      <c r="K124" s="21">
        <v>15305</v>
      </c>
      <c r="L124" s="21">
        <v>5883695.9699999997</v>
      </c>
      <c r="M124" s="21">
        <v>9000000</v>
      </c>
      <c r="N124" s="22">
        <f t="shared" si="13"/>
        <v>1.1000743173750145</v>
      </c>
      <c r="O124" s="22">
        <f t="shared" si="14"/>
        <v>0.61219999999999997</v>
      </c>
    </row>
    <row r="125" spans="2:15" x14ac:dyDescent="0.3">
      <c r="B125" s="16" t="s">
        <v>390</v>
      </c>
      <c r="C125" s="17" t="s">
        <v>36</v>
      </c>
      <c r="D125" s="17" t="s">
        <v>3</v>
      </c>
      <c r="E125" s="18">
        <v>45919</v>
      </c>
      <c r="F125" s="19">
        <v>9</v>
      </c>
      <c r="G125" s="94">
        <f t="shared" si="24"/>
        <v>46375</v>
      </c>
      <c r="H125" s="20">
        <v>1</v>
      </c>
      <c r="I125" s="24">
        <v>1089099.9099999997</v>
      </c>
      <c r="J125" s="24">
        <v>3032</v>
      </c>
      <c r="K125" s="24">
        <v>3032</v>
      </c>
      <c r="L125" s="21">
        <v>1079885.8</v>
      </c>
      <c r="M125" s="21">
        <v>3000000</v>
      </c>
      <c r="N125" s="22">
        <f t="shared" si="13"/>
        <v>0.99153970180752315</v>
      </c>
      <c r="O125" s="22">
        <f t="shared" si="14"/>
        <v>0.60640000000000005</v>
      </c>
    </row>
    <row r="126" spans="2:15" x14ac:dyDescent="0.3">
      <c r="B126" s="16" t="s">
        <v>116</v>
      </c>
      <c r="C126" s="17" t="s">
        <v>13</v>
      </c>
      <c r="D126" s="17" t="s">
        <v>17</v>
      </c>
      <c r="E126" s="18">
        <v>45727</v>
      </c>
      <c r="F126" s="19">
        <v>3</v>
      </c>
      <c r="G126" s="18">
        <v>46459</v>
      </c>
      <c r="H126" s="20">
        <v>2</v>
      </c>
      <c r="I126" s="21">
        <v>6224856.0300000058</v>
      </c>
      <c r="J126" s="21">
        <v>20317</v>
      </c>
      <c r="K126" s="21">
        <v>18067</v>
      </c>
      <c r="L126" s="21">
        <v>7030860.2800000012</v>
      </c>
      <c r="M126" s="21">
        <v>8150000</v>
      </c>
      <c r="N126" s="22">
        <f t="shared" si="13"/>
        <v>1.129481588990259</v>
      </c>
      <c r="O126" s="22">
        <f t="shared" si="14"/>
        <v>0.60223333333333329</v>
      </c>
    </row>
    <row r="127" spans="2:15" x14ac:dyDescent="0.3">
      <c r="B127" s="16" t="s">
        <v>404</v>
      </c>
      <c r="C127" s="17" t="s">
        <v>6</v>
      </c>
      <c r="D127" s="17" t="s">
        <v>17</v>
      </c>
      <c r="E127" s="18">
        <v>45972</v>
      </c>
      <c r="F127" s="19">
        <v>11</v>
      </c>
      <c r="G127" s="94">
        <f>EDATE(E127,15)</f>
        <v>46429</v>
      </c>
      <c r="H127" s="20">
        <v>1</v>
      </c>
      <c r="I127" s="24">
        <v>2935531.89</v>
      </c>
      <c r="J127" s="24">
        <v>8849</v>
      </c>
      <c r="K127" s="24">
        <v>8706</v>
      </c>
      <c r="L127" s="21">
        <v>2639896.8299999996</v>
      </c>
      <c r="M127" s="21">
        <v>8200023.54</v>
      </c>
      <c r="N127" s="22">
        <f t="shared" si="13"/>
        <v>0.89929080279894336</v>
      </c>
      <c r="O127" s="22">
        <f t="shared" si="14"/>
        <v>0.58040000000000003</v>
      </c>
    </row>
    <row r="128" spans="2:15" x14ac:dyDescent="0.3">
      <c r="B128" s="16" t="s">
        <v>118</v>
      </c>
      <c r="C128" s="17" t="s">
        <v>13</v>
      </c>
      <c r="D128" s="17" t="s">
        <v>3</v>
      </c>
      <c r="E128" s="18">
        <v>45729</v>
      </c>
      <c r="F128" s="19">
        <v>3</v>
      </c>
      <c r="G128" s="18">
        <v>46459</v>
      </c>
      <c r="H128" s="20">
        <v>2</v>
      </c>
      <c r="I128" s="21">
        <v>2023065.4100000034</v>
      </c>
      <c r="J128" s="21">
        <v>6340</v>
      </c>
      <c r="K128" s="21">
        <v>5720</v>
      </c>
      <c r="L128" s="21">
        <v>2297203.4300000002</v>
      </c>
      <c r="M128" s="21">
        <v>3000000</v>
      </c>
      <c r="N128" s="22">
        <f t="shared" si="13"/>
        <v>1.135506256320203</v>
      </c>
      <c r="O128" s="22">
        <f t="shared" si="14"/>
        <v>0.57199999999999995</v>
      </c>
    </row>
    <row r="129" spans="2:15" x14ac:dyDescent="0.3">
      <c r="B129" s="16" t="s">
        <v>317</v>
      </c>
      <c r="C129" s="17" t="s">
        <v>170</v>
      </c>
      <c r="D129" s="17" t="s">
        <v>3</v>
      </c>
      <c r="E129" s="18">
        <v>45835</v>
      </c>
      <c r="F129" s="19">
        <v>6</v>
      </c>
      <c r="G129" s="94">
        <f>EDATE(E129,15)</f>
        <v>46292</v>
      </c>
      <c r="H129" s="20">
        <v>1</v>
      </c>
      <c r="I129" s="21">
        <v>937682.27000000014</v>
      </c>
      <c r="J129" s="21">
        <v>2828</v>
      </c>
      <c r="K129" s="21">
        <v>2828</v>
      </c>
      <c r="L129" s="21">
        <v>1042296.2199999999</v>
      </c>
      <c r="M129" s="21">
        <v>1850000</v>
      </c>
      <c r="N129" s="22">
        <f t="shared" si="13"/>
        <v>1.1115665224212885</v>
      </c>
      <c r="O129" s="22">
        <f t="shared" si="14"/>
        <v>0.56559999999999999</v>
      </c>
    </row>
    <row r="130" spans="2:15" x14ac:dyDescent="0.3">
      <c r="B130" s="16" t="s">
        <v>108</v>
      </c>
      <c r="C130" s="17" t="s">
        <v>9</v>
      </c>
      <c r="D130" s="17" t="s">
        <v>10</v>
      </c>
      <c r="E130" s="18">
        <v>45719</v>
      </c>
      <c r="F130" s="19">
        <v>3</v>
      </c>
      <c r="G130" s="18">
        <v>46308</v>
      </c>
      <c r="H130" s="20">
        <v>2</v>
      </c>
      <c r="I130" s="21">
        <v>10501353.489999983</v>
      </c>
      <c r="J130" s="21">
        <v>33027</v>
      </c>
      <c r="K130" s="21">
        <v>28234</v>
      </c>
      <c r="L130" s="21">
        <v>11650316.460000001</v>
      </c>
      <c r="M130" s="21">
        <v>18250000</v>
      </c>
      <c r="N130" s="22">
        <f t="shared" si="13"/>
        <v>1.1094109412747728</v>
      </c>
      <c r="O130" s="22">
        <f t="shared" si="14"/>
        <v>0.56467999999999996</v>
      </c>
    </row>
    <row r="131" spans="2:15" x14ac:dyDescent="0.3">
      <c r="B131" s="16" t="s">
        <v>321</v>
      </c>
      <c r="C131" s="17" t="s">
        <v>6</v>
      </c>
      <c r="D131" s="17" t="s">
        <v>3</v>
      </c>
      <c r="E131" s="18">
        <v>45817</v>
      </c>
      <c r="F131" s="19">
        <v>6</v>
      </c>
      <c r="G131" s="94">
        <f>EDATE(E131,15)</f>
        <v>46274</v>
      </c>
      <c r="H131" s="20">
        <v>1</v>
      </c>
      <c r="I131" s="21">
        <v>1066518.6600000004</v>
      </c>
      <c r="J131" s="21">
        <v>2818</v>
      </c>
      <c r="K131" s="21">
        <v>2818</v>
      </c>
      <c r="L131" s="21">
        <v>1129046.2699999998</v>
      </c>
      <c r="M131" s="21">
        <v>3000000</v>
      </c>
      <c r="N131" s="22">
        <f t="shared" si="13"/>
        <v>1.0586277693444195</v>
      </c>
      <c r="O131" s="22">
        <f t="shared" si="14"/>
        <v>0.56359999999999999</v>
      </c>
    </row>
    <row r="132" spans="2:15" x14ac:dyDescent="0.3">
      <c r="B132" s="16" t="s">
        <v>180</v>
      </c>
      <c r="C132" s="17" t="s">
        <v>9</v>
      </c>
      <c r="D132" s="17" t="s">
        <v>3</v>
      </c>
      <c r="E132" s="18">
        <v>45775</v>
      </c>
      <c r="F132" s="19">
        <v>4</v>
      </c>
      <c r="G132" s="18">
        <v>46506</v>
      </c>
      <c r="H132" s="20">
        <v>2</v>
      </c>
      <c r="I132" s="21">
        <v>2033374.3100000017</v>
      </c>
      <c r="J132" s="21">
        <v>5877</v>
      </c>
      <c r="K132" s="21">
        <v>5623</v>
      </c>
      <c r="L132" s="21">
        <v>2233013.2199999997</v>
      </c>
      <c r="M132" s="21">
        <v>3000000</v>
      </c>
      <c r="N132" s="22">
        <f t="shared" ref="N132:N135" si="25">IFERROR(L132/I132,"")</f>
        <v>1.0981810919013715</v>
      </c>
      <c r="O132" s="22">
        <f t="shared" ref="O132:O195" si="26">IF(D132="a",K132/25000,IF(D132="b",K132/15000,IF(D132="c",K132/5000)))/H132</f>
        <v>0.56230000000000002</v>
      </c>
    </row>
    <row r="133" spans="2:15" x14ac:dyDescent="0.3">
      <c r="B133" s="16" t="s">
        <v>241</v>
      </c>
      <c r="C133" s="17" t="s">
        <v>42</v>
      </c>
      <c r="D133" s="17" t="s">
        <v>3</v>
      </c>
      <c r="E133" s="18">
        <v>45797</v>
      </c>
      <c r="F133" s="19">
        <v>5</v>
      </c>
      <c r="G133" s="18">
        <v>46529</v>
      </c>
      <c r="H133" s="20">
        <v>1</v>
      </c>
      <c r="I133" s="21">
        <v>1964043.5600000024</v>
      </c>
      <c r="J133" s="21">
        <v>6074</v>
      </c>
      <c r="K133" s="21">
        <v>5425</v>
      </c>
      <c r="L133" s="21">
        <v>2078100.0100000002</v>
      </c>
      <c r="M133" s="21">
        <v>3000000</v>
      </c>
      <c r="N133" s="22">
        <f t="shared" si="25"/>
        <v>1.0580722608820334</v>
      </c>
      <c r="O133" s="22">
        <f t="shared" si="26"/>
        <v>1.085</v>
      </c>
    </row>
    <row r="134" spans="2:15" x14ac:dyDescent="0.3">
      <c r="B134" s="16" t="s">
        <v>122</v>
      </c>
      <c r="C134" s="17" t="s">
        <v>13</v>
      </c>
      <c r="D134" s="17" t="s">
        <v>3</v>
      </c>
      <c r="E134" s="18">
        <v>45743</v>
      </c>
      <c r="F134" s="19">
        <v>3</v>
      </c>
      <c r="G134" s="94">
        <f>EDATE(E134,3)</f>
        <v>45835</v>
      </c>
      <c r="H134" s="20">
        <v>1</v>
      </c>
      <c r="I134" s="21">
        <v>1237394.7600000002</v>
      </c>
      <c r="J134" s="21">
        <v>2647</v>
      </c>
      <c r="K134" s="21">
        <v>2645</v>
      </c>
      <c r="L134" s="21">
        <v>1329046.96</v>
      </c>
      <c r="M134" s="21">
        <v>3000000</v>
      </c>
      <c r="N134" s="22">
        <f t="shared" si="25"/>
        <v>1.0740686828187309</v>
      </c>
      <c r="O134" s="22">
        <f t="shared" si="26"/>
        <v>0.52900000000000003</v>
      </c>
    </row>
    <row r="135" spans="2:15" x14ac:dyDescent="0.3">
      <c r="B135" s="16" t="s">
        <v>201</v>
      </c>
      <c r="C135" s="17" t="s">
        <v>13</v>
      </c>
      <c r="D135" s="17" t="s">
        <v>3</v>
      </c>
      <c r="E135" s="18">
        <v>45763</v>
      </c>
      <c r="F135" s="19">
        <v>4</v>
      </c>
      <c r="G135" s="94">
        <f t="shared" ref="G135:G139" si="27">EDATE(E135,15)</f>
        <v>46219</v>
      </c>
      <c r="H135" s="20">
        <v>1</v>
      </c>
      <c r="I135" s="21">
        <v>1234823.8899999985</v>
      </c>
      <c r="J135" s="21">
        <v>2897</v>
      </c>
      <c r="K135" s="21">
        <v>2645</v>
      </c>
      <c r="L135" s="21">
        <v>1302930.3599999999</v>
      </c>
      <c r="M135" s="21">
        <v>2815813.52</v>
      </c>
      <c r="N135" s="22">
        <f t="shared" si="25"/>
        <v>1.0551548043016898</v>
      </c>
      <c r="O135" s="22">
        <f t="shared" si="26"/>
        <v>0.52900000000000003</v>
      </c>
    </row>
    <row r="136" spans="2:15" x14ac:dyDescent="0.3">
      <c r="B136" s="16" t="s">
        <v>203</v>
      </c>
      <c r="C136" s="17" t="s">
        <v>13</v>
      </c>
      <c r="D136" s="17" t="s">
        <v>3</v>
      </c>
      <c r="E136" s="18">
        <v>45763</v>
      </c>
      <c r="F136" s="19">
        <v>4</v>
      </c>
      <c r="G136" s="94">
        <f t="shared" si="27"/>
        <v>46219</v>
      </c>
      <c r="H136" s="20">
        <v>1</v>
      </c>
      <c r="I136" s="21">
        <v>982979.93000000063</v>
      </c>
      <c r="J136" s="21">
        <v>2847</v>
      </c>
      <c r="K136" s="21">
        <v>2602</v>
      </c>
      <c r="L136" s="21">
        <v>1013199.8299999998</v>
      </c>
      <c r="M136" s="21">
        <v>3000000</v>
      </c>
      <c r="N136" s="22"/>
      <c r="O136" s="22">
        <f t="shared" si="26"/>
        <v>0.52039999999999997</v>
      </c>
    </row>
    <row r="137" spans="2:15" x14ac:dyDescent="0.3">
      <c r="B137" s="16" t="s">
        <v>265</v>
      </c>
      <c r="C137" s="17" t="s">
        <v>6</v>
      </c>
      <c r="D137" s="17" t="s">
        <v>3</v>
      </c>
      <c r="E137" s="18">
        <v>45783</v>
      </c>
      <c r="F137" s="19">
        <v>5</v>
      </c>
      <c r="G137" s="94">
        <f t="shared" si="27"/>
        <v>46240</v>
      </c>
      <c r="H137" s="20">
        <v>1</v>
      </c>
      <c r="I137" s="21">
        <v>870365.71</v>
      </c>
      <c r="J137" s="21">
        <v>2580</v>
      </c>
      <c r="K137" s="21">
        <v>2579</v>
      </c>
      <c r="L137" s="21">
        <v>1023332.61</v>
      </c>
      <c r="M137" s="21">
        <v>3600000</v>
      </c>
      <c r="N137" s="22">
        <f t="shared" ref="N137:N200" si="28">IFERROR(L137/I137,"")</f>
        <v>1.1757501453038632</v>
      </c>
      <c r="O137" s="22">
        <f t="shared" si="26"/>
        <v>0.51580000000000004</v>
      </c>
    </row>
    <row r="138" spans="2:15" x14ac:dyDescent="0.3">
      <c r="B138" s="16" t="s">
        <v>273</v>
      </c>
      <c r="C138" s="17" t="s">
        <v>42</v>
      </c>
      <c r="D138" s="17" t="s">
        <v>3</v>
      </c>
      <c r="E138" s="18">
        <v>45796</v>
      </c>
      <c r="F138" s="19">
        <v>5</v>
      </c>
      <c r="G138" s="94">
        <f t="shared" si="27"/>
        <v>46253</v>
      </c>
      <c r="H138" s="20">
        <v>1</v>
      </c>
      <c r="I138" s="21">
        <v>850972.99999999988</v>
      </c>
      <c r="J138" s="21">
        <v>2580</v>
      </c>
      <c r="K138" s="21">
        <v>2578</v>
      </c>
      <c r="L138" s="21">
        <v>879088.39999999991</v>
      </c>
      <c r="M138" s="21">
        <v>3000000</v>
      </c>
      <c r="N138" s="22">
        <f t="shared" si="28"/>
        <v>1.0330391211001995</v>
      </c>
      <c r="O138" s="22">
        <f t="shared" si="26"/>
        <v>0.51559999999999995</v>
      </c>
    </row>
    <row r="139" spans="2:15" x14ac:dyDescent="0.3">
      <c r="B139" s="16" t="s">
        <v>205</v>
      </c>
      <c r="C139" s="17" t="s">
        <v>6</v>
      </c>
      <c r="D139" s="17" t="s">
        <v>3</v>
      </c>
      <c r="E139" s="18">
        <v>45776</v>
      </c>
      <c r="F139" s="19">
        <v>4</v>
      </c>
      <c r="G139" s="94">
        <f t="shared" si="27"/>
        <v>46232</v>
      </c>
      <c r="H139" s="20">
        <v>1</v>
      </c>
      <c r="I139" s="21">
        <v>1003317.9499999991</v>
      </c>
      <c r="J139" s="21">
        <v>2570</v>
      </c>
      <c r="K139" s="21">
        <v>2570</v>
      </c>
      <c r="L139" s="21">
        <v>1044397.1999999998</v>
      </c>
      <c r="M139" s="21">
        <v>3000000</v>
      </c>
      <c r="N139" s="22">
        <f t="shared" si="28"/>
        <v>1.0409434018398662</v>
      </c>
      <c r="O139" s="22">
        <f t="shared" si="26"/>
        <v>0.51400000000000001</v>
      </c>
    </row>
    <row r="140" spans="2:15" x14ac:dyDescent="0.3">
      <c r="B140" s="16" t="s">
        <v>184</v>
      </c>
      <c r="C140" s="17" t="s">
        <v>133</v>
      </c>
      <c r="D140" s="17" t="s">
        <v>17</v>
      </c>
      <c r="E140" s="18">
        <v>45749</v>
      </c>
      <c r="F140" s="19">
        <v>4</v>
      </c>
      <c r="G140" s="18">
        <v>46527</v>
      </c>
      <c r="H140" s="20">
        <v>2</v>
      </c>
      <c r="I140" s="21">
        <v>5982380.5800000113</v>
      </c>
      <c r="J140" s="21">
        <v>16925</v>
      </c>
      <c r="K140" s="21">
        <v>15323</v>
      </c>
      <c r="L140" s="21">
        <v>6180819.5499999998</v>
      </c>
      <c r="M140" s="21">
        <v>7500000</v>
      </c>
      <c r="N140" s="22">
        <f t="shared" si="28"/>
        <v>1.0331705693655464</v>
      </c>
      <c r="O140" s="22">
        <f t="shared" si="26"/>
        <v>0.5107666666666667</v>
      </c>
    </row>
    <row r="141" spans="2:15" x14ac:dyDescent="0.3">
      <c r="B141" s="16" t="s">
        <v>120</v>
      </c>
      <c r="C141" s="17" t="s">
        <v>86</v>
      </c>
      <c r="D141" s="17" t="s">
        <v>3</v>
      </c>
      <c r="E141" s="18">
        <v>45740</v>
      </c>
      <c r="F141" s="19">
        <v>3</v>
      </c>
      <c r="G141" s="94">
        <f t="shared" ref="G141:G142" si="29">EDATE(E141,15)</f>
        <v>46197</v>
      </c>
      <c r="H141" s="20">
        <v>1</v>
      </c>
      <c r="I141" s="21">
        <v>1017073.0400000011</v>
      </c>
      <c r="J141" s="21">
        <v>2546</v>
      </c>
      <c r="K141" s="21">
        <v>2544</v>
      </c>
      <c r="L141" s="21">
        <v>1110888.7000000002</v>
      </c>
      <c r="M141" s="21">
        <v>1850000</v>
      </c>
      <c r="N141" s="22">
        <f t="shared" si="28"/>
        <v>1.0922408286429448</v>
      </c>
      <c r="O141" s="22">
        <f t="shared" si="26"/>
        <v>0.50880000000000003</v>
      </c>
    </row>
    <row r="142" spans="2:15" x14ac:dyDescent="0.3">
      <c r="B142" s="16" t="s">
        <v>363</v>
      </c>
      <c r="C142" s="17" t="s">
        <v>6</v>
      </c>
      <c r="D142" s="17" t="s">
        <v>3</v>
      </c>
      <c r="E142" s="18">
        <v>45845</v>
      </c>
      <c r="F142" s="19">
        <v>7</v>
      </c>
      <c r="G142" s="94">
        <f t="shared" si="29"/>
        <v>46302</v>
      </c>
      <c r="H142" s="20">
        <v>1</v>
      </c>
      <c r="I142" s="21">
        <v>960799.68999999971</v>
      </c>
      <c r="J142" s="21">
        <v>2543</v>
      </c>
      <c r="K142" s="21">
        <v>2543</v>
      </c>
      <c r="L142" s="21">
        <v>998149.85999999987</v>
      </c>
      <c r="M142" s="21">
        <v>2000000</v>
      </c>
      <c r="N142" s="22">
        <f t="shared" si="28"/>
        <v>1.0388740445992444</v>
      </c>
      <c r="O142" s="22">
        <f t="shared" si="26"/>
        <v>0.50860000000000005</v>
      </c>
    </row>
    <row r="143" spans="2:15" x14ac:dyDescent="0.3">
      <c r="B143" s="16" t="s">
        <v>176</v>
      </c>
      <c r="C143" s="17" t="s">
        <v>13</v>
      </c>
      <c r="D143" s="17" t="s">
        <v>3</v>
      </c>
      <c r="E143" s="18">
        <v>45756</v>
      </c>
      <c r="F143" s="19">
        <v>4</v>
      </c>
      <c r="G143" s="18">
        <v>46487</v>
      </c>
      <c r="H143" s="20">
        <v>2</v>
      </c>
      <c r="I143" s="21">
        <v>1681450.4</v>
      </c>
      <c r="J143" s="21">
        <v>5577</v>
      </c>
      <c r="K143" s="21">
        <v>5085</v>
      </c>
      <c r="L143" s="21">
        <v>1891791.33</v>
      </c>
      <c r="M143" s="21">
        <v>3460000</v>
      </c>
      <c r="N143" s="22">
        <f t="shared" si="28"/>
        <v>1.1250949358958195</v>
      </c>
      <c r="O143" s="22">
        <f t="shared" si="26"/>
        <v>0.50849999999999995</v>
      </c>
    </row>
    <row r="144" spans="2:15" x14ac:dyDescent="0.3">
      <c r="B144" s="16" t="s">
        <v>251</v>
      </c>
      <c r="C144" s="17" t="s">
        <v>2</v>
      </c>
      <c r="D144" s="17" t="s">
        <v>3</v>
      </c>
      <c r="E144" s="18">
        <v>45803</v>
      </c>
      <c r="F144" s="19">
        <v>5</v>
      </c>
      <c r="G144" s="18">
        <v>46534</v>
      </c>
      <c r="H144" s="20">
        <v>2</v>
      </c>
      <c r="I144" s="21">
        <v>1726057.5800000008</v>
      </c>
      <c r="J144" s="21">
        <v>5066</v>
      </c>
      <c r="K144" s="21">
        <v>5066</v>
      </c>
      <c r="L144" s="21">
        <v>1764374.33</v>
      </c>
      <c r="M144" s="21">
        <v>3400000</v>
      </c>
      <c r="N144" s="22">
        <f t="shared" si="28"/>
        <v>1.0221989987147471</v>
      </c>
      <c r="O144" s="22">
        <f t="shared" si="26"/>
        <v>0.50660000000000005</v>
      </c>
    </row>
    <row r="145" spans="2:15" x14ac:dyDescent="0.3">
      <c r="B145" s="16" t="s">
        <v>207</v>
      </c>
      <c r="C145" s="17" t="s">
        <v>2</v>
      </c>
      <c r="D145" s="17" t="s">
        <v>3</v>
      </c>
      <c r="E145" s="18">
        <v>45758</v>
      </c>
      <c r="F145" s="19">
        <v>4</v>
      </c>
      <c r="G145" s="94">
        <f t="shared" ref="G145:G147" si="30">EDATE(E145,15)</f>
        <v>46214</v>
      </c>
      <c r="H145" s="20">
        <v>1</v>
      </c>
      <c r="I145" s="21">
        <v>913999.01000000047</v>
      </c>
      <c r="J145" s="21">
        <v>2524</v>
      </c>
      <c r="K145" s="21">
        <v>2524</v>
      </c>
      <c r="L145" s="21">
        <v>821380.85</v>
      </c>
      <c r="M145" s="21">
        <v>3000000</v>
      </c>
      <c r="N145" s="22">
        <f t="shared" si="28"/>
        <v>0.89866711124774579</v>
      </c>
      <c r="O145" s="22">
        <f t="shared" si="26"/>
        <v>0.50480000000000003</v>
      </c>
    </row>
    <row r="146" spans="2:15" x14ac:dyDescent="0.3">
      <c r="B146" s="16" t="s">
        <v>365</v>
      </c>
      <c r="C146" s="17" t="s">
        <v>13</v>
      </c>
      <c r="D146" s="17" t="s">
        <v>3</v>
      </c>
      <c r="E146" s="18">
        <v>45845</v>
      </c>
      <c r="F146" s="19">
        <v>7</v>
      </c>
      <c r="G146" s="94">
        <f t="shared" si="30"/>
        <v>46302</v>
      </c>
      <c r="H146" s="20">
        <v>1</v>
      </c>
      <c r="I146" s="21">
        <v>907189.95000000007</v>
      </c>
      <c r="J146" s="21">
        <v>2521</v>
      </c>
      <c r="K146" s="21">
        <v>2521</v>
      </c>
      <c r="L146" s="21">
        <v>890709.24000000011</v>
      </c>
      <c r="M146" s="21">
        <v>3172000</v>
      </c>
      <c r="N146" s="22">
        <f t="shared" si="28"/>
        <v>0.98183323128744981</v>
      </c>
      <c r="O146" s="22">
        <f t="shared" si="26"/>
        <v>0.50419999999999998</v>
      </c>
    </row>
    <row r="147" spans="2:15" x14ac:dyDescent="0.3">
      <c r="B147" s="16" t="s">
        <v>415</v>
      </c>
      <c r="C147" s="17" t="s">
        <v>42</v>
      </c>
      <c r="D147" s="17" t="s">
        <v>10</v>
      </c>
      <c r="E147" s="18">
        <v>46086</v>
      </c>
      <c r="F147" s="19" t="s">
        <v>416</v>
      </c>
      <c r="G147" s="94">
        <f t="shared" si="30"/>
        <v>46543</v>
      </c>
      <c r="H147" s="20">
        <v>1</v>
      </c>
      <c r="I147" s="24">
        <v>4059830.9400000051</v>
      </c>
      <c r="J147" s="24">
        <v>14060</v>
      </c>
      <c r="K147" s="24">
        <v>12470</v>
      </c>
      <c r="L147" s="21">
        <v>3923265.15</v>
      </c>
      <c r="M147" s="21">
        <v>9000000</v>
      </c>
      <c r="N147" s="22">
        <f t="shared" si="28"/>
        <v>0.96636170519947684</v>
      </c>
      <c r="O147" s="22">
        <f t="shared" si="26"/>
        <v>0.49880000000000002</v>
      </c>
    </row>
    <row r="148" spans="2:15" x14ac:dyDescent="0.3">
      <c r="B148" s="16" t="s">
        <v>20</v>
      </c>
      <c r="C148" s="17" t="s">
        <v>6</v>
      </c>
      <c r="D148" s="17" t="s">
        <v>17</v>
      </c>
      <c r="E148" s="18">
        <v>45716</v>
      </c>
      <c r="F148" s="19">
        <v>2</v>
      </c>
      <c r="G148" s="18">
        <v>46498</v>
      </c>
      <c r="H148" s="20">
        <v>2</v>
      </c>
      <c r="I148" s="21">
        <v>5508073.9300000379</v>
      </c>
      <c r="J148" s="21">
        <v>16010</v>
      </c>
      <c r="K148" s="21">
        <v>14713</v>
      </c>
      <c r="L148" s="21">
        <v>6100207.6400000006</v>
      </c>
      <c r="M148" s="21">
        <v>8000000</v>
      </c>
      <c r="N148" s="22">
        <f t="shared" si="28"/>
        <v>1.107502861712671</v>
      </c>
      <c r="O148" s="22">
        <f t="shared" si="26"/>
        <v>0.49043333333333333</v>
      </c>
    </row>
    <row r="149" spans="2:15" x14ac:dyDescent="0.3">
      <c r="B149" s="16" t="s">
        <v>124</v>
      </c>
      <c r="C149" s="17" t="s">
        <v>6</v>
      </c>
      <c r="D149" s="17" t="s">
        <v>3</v>
      </c>
      <c r="E149" s="18">
        <v>45720</v>
      </c>
      <c r="F149" s="19">
        <v>3</v>
      </c>
      <c r="G149" s="94">
        <f t="shared" ref="G149:G212" si="31">EDATE(E149,15)</f>
        <v>46177</v>
      </c>
      <c r="H149" s="20">
        <v>1</v>
      </c>
      <c r="I149" s="21">
        <v>913124.40000000037</v>
      </c>
      <c r="J149" s="21">
        <v>2634</v>
      </c>
      <c r="K149" s="21">
        <v>2400</v>
      </c>
      <c r="L149" s="21">
        <v>1005909.77</v>
      </c>
      <c r="M149" s="21">
        <v>2850000</v>
      </c>
      <c r="N149" s="22">
        <f t="shared" si="28"/>
        <v>1.1016130660838759</v>
      </c>
      <c r="O149" s="22">
        <f t="shared" si="26"/>
        <v>0.48</v>
      </c>
    </row>
    <row r="150" spans="2:15" x14ac:dyDescent="0.3">
      <c r="B150" s="16" t="s">
        <v>267</v>
      </c>
      <c r="C150" s="17" t="s">
        <v>9</v>
      </c>
      <c r="D150" s="17" t="s">
        <v>3</v>
      </c>
      <c r="E150" s="18">
        <v>45797</v>
      </c>
      <c r="F150" s="19">
        <v>5</v>
      </c>
      <c r="G150" s="94">
        <f t="shared" si="31"/>
        <v>46254</v>
      </c>
      <c r="H150" s="20">
        <v>1</v>
      </c>
      <c r="I150" s="21">
        <v>807616.40000000026</v>
      </c>
      <c r="J150" s="21">
        <v>2610</v>
      </c>
      <c r="K150" s="21">
        <v>2388</v>
      </c>
      <c r="L150" s="21">
        <v>902068.51</v>
      </c>
      <c r="M150" s="21">
        <v>3496939.38</v>
      </c>
      <c r="N150" s="22">
        <f t="shared" si="28"/>
        <v>1.1169516988510879</v>
      </c>
      <c r="O150" s="22">
        <f t="shared" si="26"/>
        <v>0.47760000000000002</v>
      </c>
    </row>
    <row r="151" spans="2:15" x14ac:dyDescent="0.3">
      <c r="B151" s="16" t="s">
        <v>323</v>
      </c>
      <c r="C151" s="17" t="s">
        <v>6</v>
      </c>
      <c r="D151" s="17" t="s">
        <v>3</v>
      </c>
      <c r="E151" s="18">
        <v>45811</v>
      </c>
      <c r="F151" s="19">
        <v>6</v>
      </c>
      <c r="G151" s="94">
        <f t="shared" si="31"/>
        <v>46268</v>
      </c>
      <c r="H151" s="20">
        <v>1</v>
      </c>
      <c r="I151" s="21">
        <v>955855.06000000122</v>
      </c>
      <c r="J151" s="21">
        <v>2282</v>
      </c>
      <c r="K151" s="21">
        <v>2282</v>
      </c>
      <c r="L151" s="21">
        <v>1020852.42</v>
      </c>
      <c r="M151" s="21">
        <v>3000000</v>
      </c>
      <c r="N151" s="22">
        <f t="shared" si="28"/>
        <v>1.0679991797082695</v>
      </c>
      <c r="O151" s="22">
        <f t="shared" si="26"/>
        <v>0.45639999999999997</v>
      </c>
    </row>
    <row r="152" spans="2:15" x14ac:dyDescent="0.3">
      <c r="B152" s="16" t="s">
        <v>209</v>
      </c>
      <c r="C152" s="17" t="s">
        <v>36</v>
      </c>
      <c r="D152" s="17" t="s">
        <v>3</v>
      </c>
      <c r="E152" s="18">
        <v>45770</v>
      </c>
      <c r="F152" s="19">
        <v>4</v>
      </c>
      <c r="G152" s="94">
        <f t="shared" si="31"/>
        <v>46226</v>
      </c>
      <c r="H152" s="20">
        <v>1</v>
      </c>
      <c r="I152" s="21">
        <v>713060.01000000013</v>
      </c>
      <c r="J152" s="21">
        <v>2161</v>
      </c>
      <c r="K152" s="21">
        <v>2160</v>
      </c>
      <c r="L152" s="21">
        <v>770256.79</v>
      </c>
      <c r="M152" s="21">
        <v>3000000</v>
      </c>
      <c r="N152" s="22">
        <f t="shared" si="28"/>
        <v>1.0802131366194549</v>
      </c>
      <c r="O152" s="22">
        <f t="shared" si="26"/>
        <v>0.432</v>
      </c>
    </row>
    <row r="153" spans="2:15" x14ac:dyDescent="0.3">
      <c r="B153" s="16" t="s">
        <v>269</v>
      </c>
      <c r="C153" s="17" t="s">
        <v>133</v>
      </c>
      <c r="D153" s="17" t="s">
        <v>3</v>
      </c>
      <c r="E153" s="18">
        <v>45804</v>
      </c>
      <c r="F153" s="19">
        <v>5</v>
      </c>
      <c r="G153" s="94">
        <f t="shared" si="31"/>
        <v>46261</v>
      </c>
      <c r="H153" s="20">
        <v>1</v>
      </c>
      <c r="I153" s="21">
        <v>767960.90999999794</v>
      </c>
      <c r="J153" s="21">
        <v>2215</v>
      </c>
      <c r="K153" s="21">
        <v>2151</v>
      </c>
      <c r="L153" s="21">
        <v>774779.99000000022</v>
      </c>
      <c r="M153" s="21">
        <v>3000000</v>
      </c>
      <c r="N153" s="22">
        <f t="shared" si="28"/>
        <v>1.00887946236743</v>
      </c>
      <c r="O153" s="22">
        <f t="shared" si="26"/>
        <v>0.43020000000000003</v>
      </c>
    </row>
    <row r="154" spans="2:15" x14ac:dyDescent="0.3">
      <c r="B154" s="16" t="s">
        <v>324</v>
      </c>
      <c r="C154" s="17" t="s">
        <v>6</v>
      </c>
      <c r="D154" s="17" t="s">
        <v>3</v>
      </c>
      <c r="E154" s="18">
        <v>45818</v>
      </c>
      <c r="F154" s="19">
        <v>6</v>
      </c>
      <c r="G154" s="94">
        <f t="shared" si="31"/>
        <v>46275</v>
      </c>
      <c r="H154" s="20">
        <v>1</v>
      </c>
      <c r="I154" s="21">
        <v>932241.98999999906</v>
      </c>
      <c r="J154" s="21">
        <v>2179</v>
      </c>
      <c r="K154" s="21">
        <v>2138</v>
      </c>
      <c r="L154" s="21">
        <v>960215.71000000008</v>
      </c>
      <c r="M154" s="21">
        <v>3000000</v>
      </c>
      <c r="N154" s="22">
        <f t="shared" si="28"/>
        <v>1.0300069298530536</v>
      </c>
      <c r="O154" s="22">
        <f t="shared" si="26"/>
        <v>0.42759999999999998</v>
      </c>
    </row>
    <row r="155" spans="2:15" x14ac:dyDescent="0.3">
      <c r="B155" s="16" t="s">
        <v>126</v>
      </c>
      <c r="C155" s="17" t="s">
        <v>6</v>
      </c>
      <c r="D155" s="17" t="s">
        <v>10</v>
      </c>
      <c r="E155" s="18">
        <v>45722</v>
      </c>
      <c r="F155" s="19">
        <v>3</v>
      </c>
      <c r="G155" s="94">
        <f t="shared" si="31"/>
        <v>46179</v>
      </c>
      <c r="H155" s="20">
        <v>1</v>
      </c>
      <c r="I155" s="21">
        <v>4631199.6800000323</v>
      </c>
      <c r="J155" s="21">
        <v>12143</v>
      </c>
      <c r="K155" s="21">
        <v>10656</v>
      </c>
      <c r="L155" s="21">
        <v>4941828.3599999994</v>
      </c>
      <c r="M155" s="21">
        <v>9700000</v>
      </c>
      <c r="N155" s="22">
        <f t="shared" si="28"/>
        <v>1.0670730483380853</v>
      </c>
      <c r="O155" s="22">
        <f t="shared" si="26"/>
        <v>0.42624000000000001</v>
      </c>
    </row>
    <row r="156" spans="2:15" x14ac:dyDescent="0.3">
      <c r="B156" s="16" t="s">
        <v>400</v>
      </c>
      <c r="C156" s="17" t="s">
        <v>42</v>
      </c>
      <c r="D156" s="17" t="s">
        <v>3</v>
      </c>
      <c r="E156" s="18">
        <v>45959</v>
      </c>
      <c r="F156" s="19">
        <v>10</v>
      </c>
      <c r="G156" s="94">
        <f t="shared" si="31"/>
        <v>46416</v>
      </c>
      <c r="H156" s="20">
        <v>1</v>
      </c>
      <c r="I156" s="24">
        <v>716099.80000000028</v>
      </c>
      <c r="J156" s="24">
        <v>2131</v>
      </c>
      <c r="K156" s="24">
        <v>2131</v>
      </c>
      <c r="L156" s="21">
        <v>614364.97</v>
      </c>
      <c r="M156" s="21">
        <v>3000000</v>
      </c>
      <c r="N156" s="22">
        <f t="shared" si="28"/>
        <v>0.8579320508119116</v>
      </c>
      <c r="O156" s="22">
        <f t="shared" si="26"/>
        <v>0.42620000000000002</v>
      </c>
    </row>
    <row r="157" spans="2:15" x14ac:dyDescent="0.3">
      <c r="B157" s="16" t="s">
        <v>401</v>
      </c>
      <c r="C157" s="17" t="s">
        <v>6</v>
      </c>
      <c r="D157" s="17" t="s">
        <v>3</v>
      </c>
      <c r="E157" s="18">
        <v>45943</v>
      </c>
      <c r="F157" s="19">
        <v>10</v>
      </c>
      <c r="G157" s="94">
        <f t="shared" si="31"/>
        <v>46400</v>
      </c>
      <c r="H157" s="20">
        <v>1</v>
      </c>
      <c r="I157" s="24">
        <v>718189.17999999993</v>
      </c>
      <c r="J157" s="24">
        <v>2119</v>
      </c>
      <c r="K157" s="24">
        <v>2119</v>
      </c>
      <c r="L157" s="21">
        <v>812646.42999999993</v>
      </c>
      <c r="M157" s="21">
        <v>3000000</v>
      </c>
      <c r="N157" s="22">
        <f t="shared" si="28"/>
        <v>1.1315214049869144</v>
      </c>
      <c r="O157" s="22">
        <f t="shared" si="26"/>
        <v>0.42380000000000001</v>
      </c>
    </row>
    <row r="158" spans="2:15" x14ac:dyDescent="0.3">
      <c r="B158" s="16" t="s">
        <v>392</v>
      </c>
      <c r="C158" s="17" t="s">
        <v>133</v>
      </c>
      <c r="D158" s="17" t="s">
        <v>3</v>
      </c>
      <c r="E158" s="18">
        <v>45926</v>
      </c>
      <c r="F158" s="19">
        <v>9</v>
      </c>
      <c r="G158" s="94">
        <f t="shared" si="31"/>
        <v>46382</v>
      </c>
      <c r="H158" s="20">
        <v>1</v>
      </c>
      <c r="I158" s="24">
        <v>799999.67999999982</v>
      </c>
      <c r="J158" s="24">
        <v>2340</v>
      </c>
      <c r="K158" s="24">
        <v>2103</v>
      </c>
      <c r="L158" s="21">
        <v>846343.19000000006</v>
      </c>
      <c r="M158" s="21">
        <v>3000000</v>
      </c>
      <c r="N158" s="22">
        <f t="shared" si="28"/>
        <v>1.0579294106717645</v>
      </c>
      <c r="O158" s="22">
        <f t="shared" si="26"/>
        <v>0.42059999999999997</v>
      </c>
    </row>
    <row r="159" spans="2:15" x14ac:dyDescent="0.3">
      <c r="B159" s="16" t="s">
        <v>271</v>
      </c>
      <c r="C159" s="17" t="s">
        <v>9</v>
      </c>
      <c r="D159" s="17" t="s">
        <v>3</v>
      </c>
      <c r="E159" s="18">
        <v>45799</v>
      </c>
      <c r="F159" s="19">
        <v>5</v>
      </c>
      <c r="G159" s="94">
        <f t="shared" si="31"/>
        <v>46256</v>
      </c>
      <c r="H159" s="20">
        <v>1</v>
      </c>
      <c r="I159" s="21">
        <v>749147.5500000061</v>
      </c>
      <c r="J159" s="21">
        <v>2365</v>
      </c>
      <c r="K159" s="21">
        <v>2066</v>
      </c>
      <c r="L159" s="21">
        <v>801164</v>
      </c>
      <c r="M159" s="21">
        <v>3000000</v>
      </c>
      <c r="N159" s="22">
        <f t="shared" si="28"/>
        <v>1.0694341855619678</v>
      </c>
      <c r="O159" s="22">
        <f t="shared" si="26"/>
        <v>0.41320000000000001</v>
      </c>
    </row>
    <row r="160" spans="2:15" x14ac:dyDescent="0.3">
      <c r="B160" s="16" t="s">
        <v>128</v>
      </c>
      <c r="C160" s="17" t="s">
        <v>6</v>
      </c>
      <c r="D160" s="17" t="s">
        <v>17</v>
      </c>
      <c r="E160" s="18">
        <v>45729</v>
      </c>
      <c r="F160" s="19">
        <v>3</v>
      </c>
      <c r="G160" s="94">
        <f t="shared" si="31"/>
        <v>46186</v>
      </c>
      <c r="H160" s="20">
        <v>1</v>
      </c>
      <c r="I160" s="21">
        <v>2081385.6400000004</v>
      </c>
      <c r="J160" s="21">
        <v>5909</v>
      </c>
      <c r="K160" s="21">
        <v>5909</v>
      </c>
      <c r="L160" s="21">
        <v>2121764.1</v>
      </c>
      <c r="M160" s="21">
        <v>7504722.8700000001</v>
      </c>
      <c r="N160" s="22">
        <f t="shared" si="28"/>
        <v>1.0193997975310332</v>
      </c>
      <c r="O160" s="22">
        <f t="shared" si="26"/>
        <v>0.39393333333333336</v>
      </c>
    </row>
    <row r="161" spans="2:15" x14ac:dyDescent="0.3">
      <c r="B161" s="16" t="s">
        <v>393</v>
      </c>
      <c r="C161" s="17" t="s">
        <v>36</v>
      </c>
      <c r="D161" s="17" t="s">
        <v>17</v>
      </c>
      <c r="E161" s="18">
        <v>45923</v>
      </c>
      <c r="F161" s="19">
        <v>9</v>
      </c>
      <c r="G161" s="94">
        <f t="shared" si="31"/>
        <v>46379</v>
      </c>
      <c r="H161" s="20">
        <v>1</v>
      </c>
      <c r="I161" s="24">
        <v>2046893.3800000004</v>
      </c>
      <c r="J161" s="24">
        <v>5838</v>
      </c>
      <c r="K161" s="24">
        <v>5838</v>
      </c>
      <c r="L161" s="21">
        <v>1988127.4400000002</v>
      </c>
      <c r="M161" s="21">
        <v>6060000</v>
      </c>
      <c r="N161" s="22">
        <f t="shared" si="28"/>
        <v>0.97129018024377989</v>
      </c>
      <c r="O161" s="22">
        <f t="shared" si="26"/>
        <v>0.38919999999999999</v>
      </c>
    </row>
    <row r="162" spans="2:15" x14ac:dyDescent="0.3">
      <c r="B162" s="16" t="s">
        <v>411</v>
      </c>
      <c r="C162" s="17" t="s">
        <v>6</v>
      </c>
      <c r="D162" s="17" t="s">
        <v>10</v>
      </c>
      <c r="E162" s="18">
        <v>46043</v>
      </c>
      <c r="F162" s="19" t="s">
        <v>409</v>
      </c>
      <c r="G162" s="94">
        <f t="shared" si="31"/>
        <v>46498</v>
      </c>
      <c r="H162" s="20">
        <v>1</v>
      </c>
      <c r="I162" s="24">
        <v>3105718.8600000022</v>
      </c>
      <c r="J162" s="24">
        <v>9695</v>
      </c>
      <c r="K162" s="24">
        <v>9695</v>
      </c>
      <c r="L162" s="21">
        <v>3509462.54</v>
      </c>
      <c r="M162" s="21">
        <v>9250000</v>
      </c>
      <c r="N162" s="22">
        <f t="shared" si="28"/>
        <v>1.1300000734773519</v>
      </c>
      <c r="O162" s="22">
        <f t="shared" si="26"/>
        <v>0.38779999999999998</v>
      </c>
    </row>
    <row r="163" spans="2:15" x14ac:dyDescent="0.3">
      <c r="B163" s="16" t="s">
        <v>403</v>
      </c>
      <c r="C163" s="17" t="s">
        <v>6</v>
      </c>
      <c r="D163" s="17" t="s">
        <v>10</v>
      </c>
      <c r="E163" s="18">
        <v>45954</v>
      </c>
      <c r="F163" s="19">
        <v>10</v>
      </c>
      <c r="G163" s="94">
        <f t="shared" si="31"/>
        <v>46411</v>
      </c>
      <c r="H163" s="20">
        <v>1</v>
      </c>
      <c r="I163" s="24">
        <v>3030569.3899999983</v>
      </c>
      <c r="J163" s="24">
        <v>11392</v>
      </c>
      <c r="K163" s="24">
        <v>9439</v>
      </c>
      <c r="L163" s="21">
        <v>3007388.7300000004</v>
      </c>
      <c r="M163" s="21">
        <v>9000000</v>
      </c>
      <c r="N163" s="22">
        <f t="shared" si="28"/>
        <v>0.99235105453236372</v>
      </c>
      <c r="O163" s="22">
        <f t="shared" si="26"/>
        <v>0.37756000000000001</v>
      </c>
    </row>
    <row r="164" spans="2:15" x14ac:dyDescent="0.3">
      <c r="B164" s="16" t="s">
        <v>391</v>
      </c>
      <c r="C164" s="17" t="s">
        <v>42</v>
      </c>
      <c r="D164" s="17" t="s">
        <v>3</v>
      </c>
      <c r="E164" s="18">
        <v>45910</v>
      </c>
      <c r="F164" s="19">
        <v>9</v>
      </c>
      <c r="G164" s="94">
        <f t="shared" si="31"/>
        <v>46366</v>
      </c>
      <c r="H164" s="20">
        <v>1</v>
      </c>
      <c r="I164" s="21">
        <v>641607.69000000018</v>
      </c>
      <c r="J164" s="21">
        <v>2081</v>
      </c>
      <c r="K164" s="21">
        <v>1883</v>
      </c>
      <c r="L164" s="21">
        <v>718898.20000000007</v>
      </c>
      <c r="M164" s="21">
        <v>3000000</v>
      </c>
      <c r="N164" s="22">
        <f t="shared" si="28"/>
        <v>1.1204638148897497</v>
      </c>
      <c r="O164" s="22">
        <f t="shared" si="26"/>
        <v>0.37659999999999999</v>
      </c>
    </row>
    <row r="165" spans="2:15" x14ac:dyDescent="0.3">
      <c r="B165" s="16" t="s">
        <v>277</v>
      </c>
      <c r="C165" s="17" t="s">
        <v>13</v>
      </c>
      <c r="D165" s="17" t="s">
        <v>3</v>
      </c>
      <c r="E165" s="18">
        <v>45806</v>
      </c>
      <c r="F165" s="19">
        <v>5</v>
      </c>
      <c r="G165" s="94">
        <f t="shared" si="31"/>
        <v>46263</v>
      </c>
      <c r="H165" s="20">
        <v>1</v>
      </c>
      <c r="I165" s="21">
        <v>600236.74999999965</v>
      </c>
      <c r="J165" s="21">
        <v>1878</v>
      </c>
      <c r="K165" s="21">
        <v>1878</v>
      </c>
      <c r="L165" s="21">
        <v>679626.85999999987</v>
      </c>
      <c r="M165" s="21">
        <v>3000000</v>
      </c>
      <c r="N165" s="22">
        <f t="shared" si="28"/>
        <v>1.1322646605693507</v>
      </c>
      <c r="O165" s="22">
        <f t="shared" si="26"/>
        <v>0.37559999999999999</v>
      </c>
    </row>
    <row r="166" spans="2:15" x14ac:dyDescent="0.3">
      <c r="B166" s="16" t="s">
        <v>417</v>
      </c>
      <c r="C166" s="17" t="s">
        <v>133</v>
      </c>
      <c r="D166" s="17" t="s">
        <v>10</v>
      </c>
      <c r="E166" s="18">
        <v>46092</v>
      </c>
      <c r="F166" s="19" t="s">
        <v>416</v>
      </c>
      <c r="G166" s="94">
        <f t="shared" si="31"/>
        <v>46549</v>
      </c>
      <c r="H166" s="20">
        <v>1</v>
      </c>
      <c r="I166" s="24">
        <v>2937145.7699999958</v>
      </c>
      <c r="J166" s="24">
        <v>9039</v>
      </c>
      <c r="K166" s="24">
        <v>9039</v>
      </c>
      <c r="L166" s="21">
        <v>1906492.3</v>
      </c>
      <c r="M166" s="21">
        <v>9250000</v>
      </c>
      <c r="N166" s="22">
        <f t="shared" si="28"/>
        <v>0.64909692922731677</v>
      </c>
      <c r="O166" s="22">
        <f t="shared" si="26"/>
        <v>0.36155999999999999</v>
      </c>
    </row>
    <row r="167" spans="2:15" x14ac:dyDescent="0.3">
      <c r="B167" s="16" t="s">
        <v>211</v>
      </c>
      <c r="C167" s="17" t="s">
        <v>2</v>
      </c>
      <c r="D167" s="17" t="s">
        <v>3</v>
      </c>
      <c r="E167" s="18">
        <v>45776</v>
      </c>
      <c r="F167" s="19">
        <v>4</v>
      </c>
      <c r="G167" s="94">
        <f t="shared" si="31"/>
        <v>46232</v>
      </c>
      <c r="H167" s="20">
        <v>1</v>
      </c>
      <c r="I167" s="21">
        <v>735972.76000000164</v>
      </c>
      <c r="J167" s="21">
        <v>1929</v>
      </c>
      <c r="K167" s="21">
        <v>1801</v>
      </c>
      <c r="L167" s="21">
        <v>831578.37</v>
      </c>
      <c r="M167" s="21">
        <v>3000000</v>
      </c>
      <c r="N167" s="22">
        <f t="shared" si="28"/>
        <v>1.1299037344806051</v>
      </c>
      <c r="O167" s="22">
        <f t="shared" si="26"/>
        <v>0.36020000000000002</v>
      </c>
    </row>
    <row r="168" spans="2:15" x14ac:dyDescent="0.3">
      <c r="B168" s="16" t="s">
        <v>213</v>
      </c>
      <c r="C168" s="17" t="s">
        <v>36</v>
      </c>
      <c r="D168" s="17" t="s">
        <v>3</v>
      </c>
      <c r="E168" s="18">
        <v>45777</v>
      </c>
      <c r="F168" s="19">
        <v>4</v>
      </c>
      <c r="G168" s="94">
        <f t="shared" si="31"/>
        <v>46233</v>
      </c>
      <c r="H168" s="20">
        <v>1</v>
      </c>
      <c r="I168" s="21">
        <v>602864.86000000022</v>
      </c>
      <c r="J168" s="21">
        <v>1767</v>
      </c>
      <c r="K168" s="21">
        <v>1767</v>
      </c>
      <c r="L168" s="21">
        <v>646864.53</v>
      </c>
      <c r="M168" s="21">
        <v>3000000</v>
      </c>
      <c r="N168" s="22">
        <f t="shared" si="28"/>
        <v>1.0729843003289323</v>
      </c>
      <c r="O168" s="22">
        <f t="shared" si="26"/>
        <v>0.35339999999999999</v>
      </c>
    </row>
    <row r="169" spans="2:15" x14ac:dyDescent="0.3">
      <c r="B169" s="16" t="s">
        <v>410</v>
      </c>
      <c r="C169" s="17" t="s">
        <v>13</v>
      </c>
      <c r="D169" s="17" t="s">
        <v>10</v>
      </c>
      <c r="E169" s="18">
        <v>46036</v>
      </c>
      <c r="F169" s="19" t="s">
        <v>409</v>
      </c>
      <c r="G169" s="94">
        <f t="shared" si="31"/>
        <v>46491</v>
      </c>
      <c r="H169" s="20">
        <v>1</v>
      </c>
      <c r="I169" s="24">
        <v>3963124.8299999987</v>
      </c>
      <c r="J169" s="24">
        <v>8835</v>
      </c>
      <c r="K169" s="24">
        <v>8835</v>
      </c>
      <c r="L169" s="21">
        <v>3798561.59</v>
      </c>
      <c r="M169" s="21">
        <v>9000000</v>
      </c>
      <c r="N169" s="22">
        <f t="shared" si="28"/>
        <v>0.95847639247840732</v>
      </c>
      <c r="O169" s="22">
        <f t="shared" si="26"/>
        <v>0.35339999999999999</v>
      </c>
    </row>
    <row r="170" spans="2:15" x14ac:dyDescent="0.3">
      <c r="B170" s="16" t="s">
        <v>275</v>
      </c>
      <c r="C170" s="17" t="s">
        <v>36</v>
      </c>
      <c r="D170" s="17" t="s">
        <v>3</v>
      </c>
      <c r="E170" s="18">
        <v>45799</v>
      </c>
      <c r="F170" s="19">
        <v>5</v>
      </c>
      <c r="G170" s="94">
        <f t="shared" si="31"/>
        <v>46256</v>
      </c>
      <c r="H170" s="20">
        <v>1</v>
      </c>
      <c r="I170" s="21">
        <v>618526.0400000012</v>
      </c>
      <c r="J170" s="21">
        <v>1765</v>
      </c>
      <c r="K170" s="21">
        <v>1765</v>
      </c>
      <c r="L170" s="21">
        <v>607422.88</v>
      </c>
      <c r="M170" s="21">
        <v>3000000</v>
      </c>
      <c r="N170" s="22">
        <f t="shared" si="28"/>
        <v>0.98204900152627173</v>
      </c>
      <c r="O170" s="22">
        <f t="shared" si="26"/>
        <v>0.35299999999999998</v>
      </c>
    </row>
    <row r="171" spans="2:15" x14ac:dyDescent="0.3">
      <c r="B171" s="16" t="s">
        <v>328</v>
      </c>
      <c r="C171" s="17" t="s">
        <v>13</v>
      </c>
      <c r="D171" s="17" t="s">
        <v>3</v>
      </c>
      <c r="E171" s="18">
        <v>45828</v>
      </c>
      <c r="F171" s="19">
        <v>6</v>
      </c>
      <c r="G171" s="94">
        <f t="shared" si="31"/>
        <v>46285</v>
      </c>
      <c r="H171" s="20">
        <v>1</v>
      </c>
      <c r="I171" s="21">
        <v>560244.15000000026</v>
      </c>
      <c r="J171" s="21">
        <v>1612</v>
      </c>
      <c r="K171" s="21">
        <v>1612</v>
      </c>
      <c r="L171" s="21">
        <v>570325.98</v>
      </c>
      <c r="M171" s="21">
        <v>2900000</v>
      </c>
      <c r="N171" s="22">
        <f t="shared" si="28"/>
        <v>1.0179954221744212</v>
      </c>
      <c r="O171" s="22">
        <f t="shared" si="26"/>
        <v>0.32240000000000002</v>
      </c>
    </row>
    <row r="172" spans="2:15" x14ac:dyDescent="0.3">
      <c r="B172" s="16" t="s">
        <v>279</v>
      </c>
      <c r="C172" s="17" t="s">
        <v>42</v>
      </c>
      <c r="D172" s="17" t="s">
        <v>3</v>
      </c>
      <c r="E172" s="18">
        <v>45785</v>
      </c>
      <c r="F172" s="19">
        <v>5</v>
      </c>
      <c r="G172" s="94">
        <f t="shared" si="31"/>
        <v>46242</v>
      </c>
      <c r="H172" s="20">
        <v>1</v>
      </c>
      <c r="I172" s="21">
        <v>517167.98999999987</v>
      </c>
      <c r="J172" s="21">
        <v>1597</v>
      </c>
      <c r="K172" s="21">
        <v>1597</v>
      </c>
      <c r="L172" s="21">
        <v>406781.04000000004</v>
      </c>
      <c r="M172" s="21">
        <v>3000000</v>
      </c>
      <c r="N172" s="22">
        <f t="shared" si="28"/>
        <v>0.78655494513494573</v>
      </c>
      <c r="O172" s="22">
        <f t="shared" si="26"/>
        <v>0.31940000000000002</v>
      </c>
    </row>
    <row r="173" spans="2:15" x14ac:dyDescent="0.3">
      <c r="B173" s="16" t="s">
        <v>130</v>
      </c>
      <c r="C173" s="17" t="s">
        <v>70</v>
      </c>
      <c r="D173" s="17" t="s">
        <v>3</v>
      </c>
      <c r="E173" s="18">
        <v>45726</v>
      </c>
      <c r="F173" s="19">
        <v>3</v>
      </c>
      <c r="G173" s="94">
        <f t="shared" si="31"/>
        <v>46183</v>
      </c>
      <c r="H173" s="20">
        <v>1</v>
      </c>
      <c r="I173" s="21">
        <v>562101.10000000021</v>
      </c>
      <c r="J173" s="21">
        <v>1531</v>
      </c>
      <c r="K173" s="21">
        <v>1531</v>
      </c>
      <c r="L173" s="21">
        <v>636533.81999999995</v>
      </c>
      <c r="M173" s="21">
        <v>2450000</v>
      </c>
      <c r="N173" s="22">
        <f t="shared" si="28"/>
        <v>1.1324187410414241</v>
      </c>
      <c r="O173" s="22">
        <f t="shared" si="26"/>
        <v>0.30620000000000003</v>
      </c>
    </row>
    <row r="174" spans="2:15" x14ac:dyDescent="0.3">
      <c r="B174" s="16" t="s">
        <v>326</v>
      </c>
      <c r="C174" s="17" t="s">
        <v>42</v>
      </c>
      <c r="D174" s="17" t="s">
        <v>3</v>
      </c>
      <c r="E174" s="18">
        <v>45833</v>
      </c>
      <c r="F174" s="19">
        <v>6</v>
      </c>
      <c r="G174" s="94">
        <f t="shared" si="31"/>
        <v>46290</v>
      </c>
      <c r="H174" s="20">
        <v>1</v>
      </c>
      <c r="I174" s="21">
        <v>498414.18000000005</v>
      </c>
      <c r="J174" s="21">
        <v>1483</v>
      </c>
      <c r="K174" s="21">
        <v>1483</v>
      </c>
      <c r="L174" s="21">
        <v>530352.62</v>
      </c>
      <c r="M174" s="21">
        <v>3000000</v>
      </c>
      <c r="N174" s="22">
        <f t="shared" si="28"/>
        <v>1.0640801190688434</v>
      </c>
      <c r="O174" s="22">
        <f t="shared" si="26"/>
        <v>0.29659999999999997</v>
      </c>
    </row>
    <row r="175" spans="2:15" x14ac:dyDescent="0.3">
      <c r="B175" s="16" t="s">
        <v>132</v>
      </c>
      <c r="C175" s="17" t="s">
        <v>133</v>
      </c>
      <c r="D175" s="17" t="s">
        <v>3</v>
      </c>
      <c r="E175" s="18">
        <v>45741</v>
      </c>
      <c r="F175" s="19">
        <v>3</v>
      </c>
      <c r="G175" s="94">
        <f t="shared" si="31"/>
        <v>46198</v>
      </c>
      <c r="H175" s="20">
        <v>1</v>
      </c>
      <c r="I175" s="21">
        <v>524391.43000000063</v>
      </c>
      <c r="J175" s="21">
        <v>1467</v>
      </c>
      <c r="K175" s="21">
        <v>1466</v>
      </c>
      <c r="L175" s="21">
        <v>590355.98</v>
      </c>
      <c r="M175" s="21">
        <v>3700000</v>
      </c>
      <c r="N175" s="22">
        <f t="shared" si="28"/>
        <v>1.1257925782654368</v>
      </c>
      <c r="O175" s="22">
        <f t="shared" si="26"/>
        <v>0.29320000000000002</v>
      </c>
    </row>
    <row r="176" spans="2:15" x14ac:dyDescent="0.3">
      <c r="B176" s="16" t="s">
        <v>330</v>
      </c>
      <c r="C176" s="17" t="s">
        <v>6</v>
      </c>
      <c r="D176" s="17" t="s">
        <v>3</v>
      </c>
      <c r="E176" s="18">
        <v>45826</v>
      </c>
      <c r="F176" s="19">
        <v>6</v>
      </c>
      <c r="G176" s="94">
        <f t="shared" si="31"/>
        <v>46283</v>
      </c>
      <c r="H176" s="20">
        <v>1</v>
      </c>
      <c r="I176" s="21">
        <v>619083.84999999916</v>
      </c>
      <c r="J176" s="21">
        <v>1424</v>
      </c>
      <c r="K176" s="21">
        <v>1424</v>
      </c>
      <c r="L176" s="21">
        <v>617157.89</v>
      </c>
      <c r="M176" s="21">
        <v>3000000</v>
      </c>
      <c r="N176" s="22">
        <f t="shared" si="28"/>
        <v>0.99688901592248103</v>
      </c>
      <c r="O176" s="22">
        <f t="shared" si="26"/>
        <v>0.2848</v>
      </c>
    </row>
    <row r="177" spans="2:15" x14ac:dyDescent="0.3">
      <c r="B177" s="16" t="s">
        <v>281</v>
      </c>
      <c r="C177" s="17" t="s">
        <v>133</v>
      </c>
      <c r="D177" s="17" t="s">
        <v>3</v>
      </c>
      <c r="E177" s="18">
        <v>45790</v>
      </c>
      <c r="F177" s="19">
        <v>5</v>
      </c>
      <c r="G177" s="94">
        <f t="shared" si="31"/>
        <v>46247</v>
      </c>
      <c r="H177" s="20">
        <v>1</v>
      </c>
      <c r="I177" s="21">
        <v>526295.62000000069</v>
      </c>
      <c r="J177" s="21">
        <v>1416</v>
      </c>
      <c r="K177" s="21">
        <v>1416</v>
      </c>
      <c r="L177" s="21">
        <v>582841.18000000005</v>
      </c>
      <c r="M177" s="21">
        <v>3000000</v>
      </c>
      <c r="N177" s="22">
        <f t="shared" si="28"/>
        <v>1.107440681341789</v>
      </c>
      <c r="O177" s="22">
        <f t="shared" si="26"/>
        <v>0.28320000000000001</v>
      </c>
    </row>
    <row r="178" spans="2:15" x14ac:dyDescent="0.3">
      <c r="B178" s="16" t="s">
        <v>412</v>
      </c>
      <c r="C178" s="17" t="s">
        <v>42</v>
      </c>
      <c r="D178" s="17" t="s">
        <v>3</v>
      </c>
      <c r="E178" s="18">
        <v>46063</v>
      </c>
      <c r="F178" s="19" t="s">
        <v>413</v>
      </c>
      <c r="G178" s="94">
        <f t="shared" si="31"/>
        <v>46517</v>
      </c>
      <c r="H178" s="20">
        <v>1</v>
      </c>
      <c r="I178" s="24">
        <v>465139.4</v>
      </c>
      <c r="J178" s="24">
        <v>1414</v>
      </c>
      <c r="K178" s="24">
        <v>1414</v>
      </c>
      <c r="L178" s="21">
        <v>13596.8</v>
      </c>
      <c r="M178" s="21">
        <v>3000000</v>
      </c>
      <c r="N178" s="22">
        <f t="shared" si="28"/>
        <v>2.9231666893838704E-2</v>
      </c>
      <c r="O178" s="22">
        <f t="shared" si="26"/>
        <v>0.2828</v>
      </c>
    </row>
    <row r="179" spans="2:15" x14ac:dyDescent="0.3">
      <c r="B179" s="16" t="s">
        <v>402</v>
      </c>
      <c r="C179" s="17" t="s">
        <v>13</v>
      </c>
      <c r="D179" s="17" t="s">
        <v>3</v>
      </c>
      <c r="E179" s="18">
        <v>45952</v>
      </c>
      <c r="F179" s="19">
        <v>10</v>
      </c>
      <c r="G179" s="94">
        <f t="shared" si="31"/>
        <v>46409</v>
      </c>
      <c r="H179" s="20">
        <v>1</v>
      </c>
      <c r="I179" s="24">
        <v>446699.98999999993</v>
      </c>
      <c r="J179" s="24">
        <v>1407</v>
      </c>
      <c r="K179" s="24">
        <v>1406</v>
      </c>
      <c r="L179" s="21">
        <v>483963.10000000003</v>
      </c>
      <c r="M179" s="21">
        <v>3000000</v>
      </c>
      <c r="N179" s="22">
        <f t="shared" si="28"/>
        <v>1.0834186497295424</v>
      </c>
      <c r="O179" s="22">
        <f t="shared" si="26"/>
        <v>0.28120000000000001</v>
      </c>
    </row>
    <row r="180" spans="2:15" x14ac:dyDescent="0.3">
      <c r="B180" s="16" t="s">
        <v>407</v>
      </c>
      <c r="C180" s="17" t="s">
        <v>9</v>
      </c>
      <c r="D180" s="17" t="s">
        <v>17</v>
      </c>
      <c r="E180" s="18">
        <v>46014</v>
      </c>
      <c r="F180" s="19">
        <v>12</v>
      </c>
      <c r="G180" s="94">
        <f t="shared" si="31"/>
        <v>46469</v>
      </c>
      <c r="H180" s="20">
        <v>1</v>
      </c>
      <c r="I180" s="24">
        <v>1649521.0699999996</v>
      </c>
      <c r="J180" s="24">
        <v>4237</v>
      </c>
      <c r="K180" s="24">
        <v>4177</v>
      </c>
      <c r="L180" s="21">
        <v>1529198.2600000002</v>
      </c>
      <c r="M180" s="21">
        <v>6000000</v>
      </c>
      <c r="N180" s="22">
        <f t="shared" si="28"/>
        <v>0.92705591205330928</v>
      </c>
      <c r="O180" s="22">
        <f t="shared" si="26"/>
        <v>0.27846666666666664</v>
      </c>
    </row>
    <row r="181" spans="2:15" x14ac:dyDescent="0.3">
      <c r="B181" s="16" t="s">
        <v>134</v>
      </c>
      <c r="C181" s="17" t="s">
        <v>6</v>
      </c>
      <c r="D181" s="17" t="s">
        <v>3</v>
      </c>
      <c r="E181" s="18">
        <v>45719</v>
      </c>
      <c r="F181" s="19">
        <v>3</v>
      </c>
      <c r="G181" s="94">
        <f t="shared" si="31"/>
        <v>46176</v>
      </c>
      <c r="H181" s="20">
        <v>1</v>
      </c>
      <c r="I181" s="21">
        <v>471106.93999999959</v>
      </c>
      <c r="J181" s="21">
        <v>1372</v>
      </c>
      <c r="K181" s="21">
        <v>1372</v>
      </c>
      <c r="L181" s="21">
        <v>530551.75</v>
      </c>
      <c r="M181" s="21">
        <v>3000000</v>
      </c>
      <c r="N181" s="22">
        <f t="shared" si="28"/>
        <v>1.1261811384056462</v>
      </c>
      <c r="O181" s="22">
        <f t="shared" si="26"/>
        <v>0.27439999999999998</v>
      </c>
    </row>
    <row r="182" spans="2:15" x14ac:dyDescent="0.3">
      <c r="B182" s="16" t="s">
        <v>406</v>
      </c>
      <c r="C182" s="17" t="s">
        <v>2</v>
      </c>
      <c r="D182" s="17" t="s">
        <v>10</v>
      </c>
      <c r="E182" s="18">
        <v>46010</v>
      </c>
      <c r="F182" s="19">
        <v>12</v>
      </c>
      <c r="G182" s="94">
        <f t="shared" si="31"/>
        <v>46465</v>
      </c>
      <c r="H182" s="20">
        <v>1</v>
      </c>
      <c r="I182" s="24">
        <v>2307477.350000001</v>
      </c>
      <c r="J182" s="24">
        <v>6837</v>
      </c>
      <c r="K182" s="24">
        <v>6837</v>
      </c>
      <c r="L182" s="21">
        <v>2198830</v>
      </c>
      <c r="M182" s="21">
        <v>9000000</v>
      </c>
      <c r="N182" s="22">
        <f t="shared" si="28"/>
        <v>0.95291509578631362</v>
      </c>
      <c r="O182" s="22">
        <f t="shared" si="26"/>
        <v>0.27348</v>
      </c>
    </row>
    <row r="183" spans="2:15" x14ac:dyDescent="0.3">
      <c r="B183" s="16" t="s">
        <v>283</v>
      </c>
      <c r="C183" s="17" t="s">
        <v>2</v>
      </c>
      <c r="D183" s="17" t="s">
        <v>3</v>
      </c>
      <c r="E183" s="18">
        <v>45797</v>
      </c>
      <c r="F183" s="19">
        <v>5</v>
      </c>
      <c r="G183" s="94">
        <f t="shared" si="31"/>
        <v>46254</v>
      </c>
      <c r="H183" s="20">
        <v>1</v>
      </c>
      <c r="I183" s="21">
        <v>542447.7200000002</v>
      </c>
      <c r="J183" s="21">
        <v>1362</v>
      </c>
      <c r="K183" s="21">
        <v>1362</v>
      </c>
      <c r="L183" s="21">
        <v>581535.49</v>
      </c>
      <c r="M183" s="21">
        <v>2513965.9900000002</v>
      </c>
      <c r="N183" s="22">
        <f t="shared" si="28"/>
        <v>1.0720581330860783</v>
      </c>
      <c r="O183" s="22">
        <f t="shared" si="26"/>
        <v>0.27239999999999998</v>
      </c>
    </row>
    <row r="184" spans="2:15" x14ac:dyDescent="0.3">
      <c r="B184" s="16" t="s">
        <v>384</v>
      </c>
      <c r="C184" s="17" t="s">
        <v>6</v>
      </c>
      <c r="D184" s="17" t="s">
        <v>3</v>
      </c>
      <c r="E184" s="18">
        <v>45895</v>
      </c>
      <c r="F184" s="19">
        <v>8</v>
      </c>
      <c r="G184" s="94">
        <f t="shared" si="31"/>
        <v>46352</v>
      </c>
      <c r="H184" s="20">
        <v>1</v>
      </c>
      <c r="I184" s="21">
        <v>470809.31</v>
      </c>
      <c r="J184" s="21">
        <v>1360</v>
      </c>
      <c r="K184" s="21">
        <v>1359</v>
      </c>
      <c r="L184" s="21">
        <v>543444.77</v>
      </c>
      <c r="M184" s="21">
        <v>3000000</v>
      </c>
      <c r="N184" s="22">
        <f t="shared" si="28"/>
        <v>1.1542778752612177</v>
      </c>
      <c r="O184" s="22">
        <f t="shared" si="26"/>
        <v>0.27179999999999999</v>
      </c>
    </row>
    <row r="185" spans="2:15" x14ac:dyDescent="0.3">
      <c r="B185" s="16" t="s">
        <v>434</v>
      </c>
      <c r="C185" s="17" t="s">
        <v>13</v>
      </c>
      <c r="D185" s="17" t="s">
        <v>10</v>
      </c>
      <c r="E185" s="18">
        <v>46078</v>
      </c>
      <c r="F185" s="19" t="s">
        <v>413</v>
      </c>
      <c r="G185" s="94">
        <f t="shared" si="31"/>
        <v>46532</v>
      </c>
      <c r="H185" s="20">
        <v>1</v>
      </c>
      <c r="I185" s="24">
        <v>2199109.5600000024</v>
      </c>
      <c r="J185" s="24">
        <v>6425</v>
      </c>
      <c r="K185" s="24">
        <v>6425</v>
      </c>
      <c r="L185" s="21">
        <v>1485750</v>
      </c>
      <c r="M185" s="21">
        <v>9250000</v>
      </c>
      <c r="N185" s="22">
        <f t="shared" si="28"/>
        <v>0.67561436093252147</v>
      </c>
      <c r="O185" s="22">
        <f t="shared" si="26"/>
        <v>0.25700000000000001</v>
      </c>
    </row>
    <row r="186" spans="2:15" x14ac:dyDescent="0.3">
      <c r="B186" s="16" t="s">
        <v>215</v>
      </c>
      <c r="C186" s="17" t="s">
        <v>86</v>
      </c>
      <c r="D186" s="17" t="s">
        <v>3</v>
      </c>
      <c r="E186" s="18">
        <v>45775</v>
      </c>
      <c r="F186" s="19">
        <v>4</v>
      </c>
      <c r="G186" s="94">
        <f t="shared" si="31"/>
        <v>46231</v>
      </c>
      <c r="H186" s="20">
        <v>1</v>
      </c>
      <c r="I186" s="21">
        <v>422023.9</v>
      </c>
      <c r="J186" s="21">
        <v>1279</v>
      </c>
      <c r="K186" s="21">
        <v>1279</v>
      </c>
      <c r="L186" s="21">
        <v>477226.69999999995</v>
      </c>
      <c r="M186" s="21">
        <v>1950000</v>
      </c>
      <c r="N186" s="22">
        <f t="shared" si="28"/>
        <v>1.1308049141292706</v>
      </c>
      <c r="O186" s="22">
        <f t="shared" si="26"/>
        <v>0.25580000000000003</v>
      </c>
    </row>
    <row r="187" spans="2:15" x14ac:dyDescent="0.3">
      <c r="B187" s="16" t="s">
        <v>395</v>
      </c>
      <c r="C187" s="17" t="s">
        <v>13</v>
      </c>
      <c r="D187" s="17" t="s">
        <v>3</v>
      </c>
      <c r="E187" s="18">
        <v>45908</v>
      </c>
      <c r="F187" s="19">
        <v>9</v>
      </c>
      <c r="G187" s="94">
        <f t="shared" si="31"/>
        <v>46364</v>
      </c>
      <c r="H187" s="20">
        <v>1</v>
      </c>
      <c r="I187" s="21">
        <v>443702.9200000001</v>
      </c>
      <c r="J187" s="21">
        <v>1256</v>
      </c>
      <c r="K187" s="21">
        <v>1255</v>
      </c>
      <c r="L187" s="21">
        <v>416723.78</v>
      </c>
      <c r="M187" s="21">
        <v>3000000</v>
      </c>
      <c r="N187" s="22">
        <f t="shared" si="28"/>
        <v>0.93919548692625221</v>
      </c>
      <c r="O187" s="22">
        <f t="shared" si="26"/>
        <v>0.251</v>
      </c>
    </row>
    <row r="188" spans="2:15" x14ac:dyDescent="0.3">
      <c r="B188" s="16" t="s">
        <v>510</v>
      </c>
      <c r="C188" s="17" t="s">
        <v>9</v>
      </c>
      <c r="D188" s="17" t="s">
        <v>10</v>
      </c>
      <c r="E188" s="18">
        <v>46140</v>
      </c>
      <c r="F188" s="19" t="s">
        <v>511</v>
      </c>
      <c r="G188" s="94">
        <f t="shared" si="31"/>
        <v>46596</v>
      </c>
      <c r="H188" s="20">
        <v>1</v>
      </c>
      <c r="I188" s="24">
        <v>1938362.3600000003</v>
      </c>
      <c r="J188" s="24">
        <v>6157</v>
      </c>
      <c r="K188" s="24">
        <v>6157</v>
      </c>
      <c r="L188" s="21">
        <v>1830000</v>
      </c>
      <c r="M188" s="24">
        <v>9000000</v>
      </c>
      <c r="N188" s="22">
        <f t="shared" si="28"/>
        <v>0.94409592229184625</v>
      </c>
      <c r="O188" s="22">
        <f t="shared" si="26"/>
        <v>0.24628</v>
      </c>
    </row>
    <row r="189" spans="2:15" x14ac:dyDescent="0.3">
      <c r="B189" s="16" t="s">
        <v>394</v>
      </c>
      <c r="C189" s="17" t="s">
        <v>2</v>
      </c>
      <c r="D189" s="17" t="s">
        <v>10</v>
      </c>
      <c r="E189" s="18">
        <v>45904</v>
      </c>
      <c r="F189" s="19">
        <v>9</v>
      </c>
      <c r="G189" s="94">
        <f t="shared" si="31"/>
        <v>46360</v>
      </c>
      <c r="H189" s="20">
        <v>1</v>
      </c>
      <c r="I189" s="21">
        <v>2290798.0199999977</v>
      </c>
      <c r="J189" s="21">
        <v>7350</v>
      </c>
      <c r="K189" s="21">
        <v>6084</v>
      </c>
      <c r="L189" s="21">
        <v>2361523.8200000003</v>
      </c>
      <c r="M189" s="21">
        <v>9250000</v>
      </c>
      <c r="N189" s="22">
        <f t="shared" si="28"/>
        <v>1.030873869883999</v>
      </c>
      <c r="O189" s="22">
        <f t="shared" si="26"/>
        <v>0.24335999999999999</v>
      </c>
    </row>
    <row r="190" spans="2:15" x14ac:dyDescent="0.3">
      <c r="B190" s="16" t="s">
        <v>285</v>
      </c>
      <c r="C190" s="17" t="s">
        <v>9</v>
      </c>
      <c r="D190" s="17" t="s">
        <v>3</v>
      </c>
      <c r="E190" s="18">
        <v>45786</v>
      </c>
      <c r="F190" s="19">
        <v>5</v>
      </c>
      <c r="G190" s="94">
        <f t="shared" si="31"/>
        <v>46243</v>
      </c>
      <c r="H190" s="20">
        <v>1</v>
      </c>
      <c r="I190" s="21">
        <v>439658.67000000097</v>
      </c>
      <c r="J190" s="21">
        <v>1241</v>
      </c>
      <c r="K190" s="21">
        <v>1209</v>
      </c>
      <c r="L190" s="21">
        <v>500782.63</v>
      </c>
      <c r="M190" s="21">
        <v>3000000</v>
      </c>
      <c r="N190" s="22">
        <f t="shared" si="28"/>
        <v>1.1390259402822625</v>
      </c>
      <c r="O190" s="22">
        <f t="shared" si="26"/>
        <v>0.24179999999999999</v>
      </c>
    </row>
    <row r="191" spans="2:15" x14ac:dyDescent="0.3">
      <c r="B191" s="16" t="s">
        <v>334</v>
      </c>
      <c r="C191" s="17" t="s">
        <v>42</v>
      </c>
      <c r="D191" s="17" t="s">
        <v>3</v>
      </c>
      <c r="E191" s="18">
        <v>45832</v>
      </c>
      <c r="F191" s="19">
        <v>6</v>
      </c>
      <c r="G191" s="94">
        <f t="shared" si="31"/>
        <v>46289</v>
      </c>
      <c r="H191" s="20">
        <v>1</v>
      </c>
      <c r="I191" s="21">
        <v>426498.15000000008</v>
      </c>
      <c r="J191" s="21">
        <v>1216</v>
      </c>
      <c r="K191" s="21">
        <v>1196</v>
      </c>
      <c r="L191" s="21">
        <v>455886.36000000004</v>
      </c>
      <c r="M191" s="21">
        <v>2800000</v>
      </c>
      <c r="N191" s="22">
        <f t="shared" si="28"/>
        <v>1.0689058322996241</v>
      </c>
      <c r="O191" s="22">
        <f t="shared" si="26"/>
        <v>0.2392</v>
      </c>
    </row>
    <row r="192" spans="2:15" x14ac:dyDescent="0.3">
      <c r="B192" s="16" t="s">
        <v>287</v>
      </c>
      <c r="C192" s="17" t="s">
        <v>9</v>
      </c>
      <c r="D192" s="17" t="s">
        <v>3</v>
      </c>
      <c r="E192" s="18">
        <v>45791</v>
      </c>
      <c r="F192" s="19">
        <v>5</v>
      </c>
      <c r="G192" s="94">
        <f t="shared" si="31"/>
        <v>46248</v>
      </c>
      <c r="H192" s="20">
        <v>1</v>
      </c>
      <c r="I192" s="21">
        <v>397680.76999999967</v>
      </c>
      <c r="J192" s="21">
        <v>1200</v>
      </c>
      <c r="K192" s="21">
        <v>1194</v>
      </c>
      <c r="L192" s="21">
        <v>450130.05999999994</v>
      </c>
      <c r="M192" s="21">
        <v>3000000</v>
      </c>
      <c r="N192" s="22">
        <f t="shared" si="28"/>
        <v>1.1318879210578885</v>
      </c>
      <c r="O192" s="22">
        <f t="shared" si="26"/>
        <v>0.23880000000000001</v>
      </c>
    </row>
    <row r="193" spans="1:15" x14ac:dyDescent="0.3">
      <c r="B193" s="16" t="s">
        <v>217</v>
      </c>
      <c r="C193" s="17" t="s">
        <v>36</v>
      </c>
      <c r="D193" s="17" t="s">
        <v>3</v>
      </c>
      <c r="E193" s="18">
        <v>45772</v>
      </c>
      <c r="F193" s="19">
        <v>4</v>
      </c>
      <c r="G193" s="94">
        <f t="shared" si="31"/>
        <v>46228</v>
      </c>
      <c r="H193" s="20">
        <v>1</v>
      </c>
      <c r="I193" s="21">
        <v>513841.65999999974</v>
      </c>
      <c r="J193" s="21">
        <v>1163</v>
      </c>
      <c r="K193" s="21">
        <v>1163</v>
      </c>
      <c r="L193" s="21">
        <v>575092.13</v>
      </c>
      <c r="M193" s="21">
        <v>3000000</v>
      </c>
      <c r="N193" s="22">
        <f t="shared" si="28"/>
        <v>1.119201058940998</v>
      </c>
      <c r="O193" s="22">
        <f t="shared" si="26"/>
        <v>0.2326</v>
      </c>
    </row>
    <row r="194" spans="1:15" x14ac:dyDescent="0.3">
      <c r="B194" s="16" t="s">
        <v>136</v>
      </c>
      <c r="C194" s="17" t="s">
        <v>9</v>
      </c>
      <c r="D194" s="17" t="s">
        <v>3</v>
      </c>
      <c r="E194" s="18">
        <v>45729</v>
      </c>
      <c r="F194" s="19">
        <v>3</v>
      </c>
      <c r="G194" s="94">
        <f t="shared" si="31"/>
        <v>46186</v>
      </c>
      <c r="H194" s="20">
        <v>1</v>
      </c>
      <c r="I194" s="21">
        <v>435437.88000000024</v>
      </c>
      <c r="J194" s="21">
        <v>1122</v>
      </c>
      <c r="K194" s="21">
        <v>1122</v>
      </c>
      <c r="L194" s="21">
        <v>496303.76000000007</v>
      </c>
      <c r="M194" s="21">
        <v>3000000</v>
      </c>
      <c r="N194" s="22">
        <f t="shared" si="28"/>
        <v>1.1397808569158012</v>
      </c>
      <c r="O194" s="22">
        <f t="shared" si="26"/>
        <v>0.22439999999999999</v>
      </c>
    </row>
    <row r="195" spans="1:15" x14ac:dyDescent="0.3">
      <c r="B195" s="16" t="s">
        <v>516</v>
      </c>
      <c r="C195" s="17" t="s">
        <v>2</v>
      </c>
      <c r="D195" s="17" t="s">
        <v>3</v>
      </c>
      <c r="E195" s="18">
        <v>46129</v>
      </c>
      <c r="F195" s="19" t="s">
        <v>511</v>
      </c>
      <c r="G195" s="94">
        <f t="shared" si="31"/>
        <v>46585</v>
      </c>
      <c r="H195" s="20">
        <v>1</v>
      </c>
      <c r="I195" s="24">
        <v>355613.01000000013</v>
      </c>
      <c r="J195" s="24">
        <v>1088</v>
      </c>
      <c r="K195" s="24">
        <v>1088</v>
      </c>
      <c r="L195" s="21">
        <v>5650.74</v>
      </c>
      <c r="M195" s="24">
        <v>5650000</v>
      </c>
      <c r="N195" s="22">
        <f t="shared" si="28"/>
        <v>1.5890138552579945E-2</v>
      </c>
      <c r="O195" s="22">
        <f t="shared" si="26"/>
        <v>0.21759999999999999</v>
      </c>
    </row>
    <row r="196" spans="1:15" x14ac:dyDescent="0.3">
      <c r="B196" s="16" t="s">
        <v>332</v>
      </c>
      <c r="C196" s="17" t="s">
        <v>42</v>
      </c>
      <c r="D196" s="17" t="s">
        <v>17</v>
      </c>
      <c r="E196" s="18">
        <v>45827</v>
      </c>
      <c r="F196" s="19">
        <v>6</v>
      </c>
      <c r="G196" s="94">
        <f t="shared" si="31"/>
        <v>46284</v>
      </c>
      <c r="H196" s="20">
        <v>1</v>
      </c>
      <c r="I196" s="21">
        <v>1225100.7099999981</v>
      </c>
      <c r="J196" s="21">
        <v>3204</v>
      </c>
      <c r="K196" s="21">
        <v>3204</v>
      </c>
      <c r="L196" s="21">
        <v>1286299.02</v>
      </c>
      <c r="M196" s="21">
        <v>6000000</v>
      </c>
      <c r="N196" s="22">
        <f t="shared" si="28"/>
        <v>1.0499536972760404</v>
      </c>
      <c r="O196" s="22">
        <f t="shared" ref="O196:O242" si="32">IF(D196="a",K196/25000,IF(D196="b",K196/15000,IF(D196="c",K196/5000)))/H196</f>
        <v>0.21360000000000001</v>
      </c>
    </row>
    <row r="197" spans="1:15" x14ac:dyDescent="0.3">
      <c r="B197" s="16" t="s">
        <v>289</v>
      </c>
      <c r="C197" s="17" t="s">
        <v>133</v>
      </c>
      <c r="D197" s="17" t="s">
        <v>3</v>
      </c>
      <c r="E197" s="18">
        <v>45792</v>
      </c>
      <c r="F197" s="19">
        <v>5</v>
      </c>
      <c r="G197" s="94">
        <f t="shared" si="31"/>
        <v>46249</v>
      </c>
      <c r="H197" s="20">
        <v>1</v>
      </c>
      <c r="I197" s="21">
        <v>430648.68999999983</v>
      </c>
      <c r="J197" s="21">
        <v>1064</v>
      </c>
      <c r="K197" s="21">
        <v>1064</v>
      </c>
      <c r="L197" s="21">
        <v>413940.41000000003</v>
      </c>
      <c r="M197" s="21">
        <v>2100000</v>
      </c>
      <c r="N197" s="22">
        <f t="shared" si="28"/>
        <v>0.96120206472705216</v>
      </c>
      <c r="O197" s="22">
        <f t="shared" si="32"/>
        <v>0.21279999999999999</v>
      </c>
    </row>
    <row r="198" spans="1:15" x14ac:dyDescent="0.3">
      <c r="B198" s="16" t="s">
        <v>369</v>
      </c>
      <c r="C198" s="17" t="s">
        <v>36</v>
      </c>
      <c r="D198" s="17" t="s">
        <v>3</v>
      </c>
      <c r="E198" s="18">
        <v>45839</v>
      </c>
      <c r="F198" s="19">
        <v>7</v>
      </c>
      <c r="G198" s="94">
        <f t="shared" si="31"/>
        <v>46296</v>
      </c>
      <c r="H198" s="20">
        <v>1</v>
      </c>
      <c r="I198" s="21">
        <v>381614.45999999996</v>
      </c>
      <c r="J198" s="21">
        <v>1085</v>
      </c>
      <c r="K198" s="21">
        <v>1052</v>
      </c>
      <c r="L198" s="21">
        <v>443270.09</v>
      </c>
      <c r="M198" s="21">
        <v>3000000</v>
      </c>
      <c r="N198" s="22">
        <f t="shared" si="28"/>
        <v>1.1615652352376795</v>
      </c>
      <c r="O198" s="22">
        <f t="shared" si="32"/>
        <v>0.2104</v>
      </c>
    </row>
    <row r="199" spans="1:15" x14ac:dyDescent="0.3">
      <c r="B199" s="16" t="s">
        <v>367</v>
      </c>
      <c r="C199" s="17" t="s">
        <v>170</v>
      </c>
      <c r="D199" s="17" t="s">
        <v>3</v>
      </c>
      <c r="E199" s="18">
        <v>45839</v>
      </c>
      <c r="F199" s="19">
        <v>7</v>
      </c>
      <c r="G199" s="94">
        <f t="shared" si="31"/>
        <v>46296</v>
      </c>
      <c r="H199" s="20">
        <v>1</v>
      </c>
      <c r="I199" s="21">
        <v>358508.67000000033</v>
      </c>
      <c r="J199" s="21">
        <v>1044</v>
      </c>
      <c r="K199" s="21">
        <v>1044</v>
      </c>
      <c r="L199" s="21">
        <v>405850.18</v>
      </c>
      <c r="M199" s="21">
        <v>3000000</v>
      </c>
      <c r="N199" s="22">
        <f t="shared" si="28"/>
        <v>1.1320512276592909</v>
      </c>
      <c r="O199" s="22">
        <f t="shared" si="32"/>
        <v>0.20880000000000001</v>
      </c>
    </row>
    <row r="200" spans="1:15" x14ac:dyDescent="0.3">
      <c r="B200" s="16" t="s">
        <v>385</v>
      </c>
      <c r="C200" s="17" t="s">
        <v>6</v>
      </c>
      <c r="D200" s="17" t="s">
        <v>3</v>
      </c>
      <c r="E200" s="18">
        <v>45894</v>
      </c>
      <c r="F200" s="19">
        <v>8</v>
      </c>
      <c r="G200" s="94">
        <f t="shared" si="31"/>
        <v>46351</v>
      </c>
      <c r="H200" s="20">
        <v>1</v>
      </c>
      <c r="I200" s="21">
        <v>444734.31999999983</v>
      </c>
      <c r="J200" s="21">
        <v>1024</v>
      </c>
      <c r="K200" s="21">
        <v>1024</v>
      </c>
      <c r="L200" s="21">
        <v>470685.95</v>
      </c>
      <c r="M200" s="21">
        <v>3000000</v>
      </c>
      <c r="N200" s="22">
        <f t="shared" si="28"/>
        <v>1.0583531084356166</v>
      </c>
      <c r="O200" s="22">
        <f t="shared" si="32"/>
        <v>0.20480000000000001</v>
      </c>
    </row>
    <row r="201" spans="1:15" x14ac:dyDescent="0.3">
      <c r="A201" s="28"/>
      <c r="B201" s="16" t="s">
        <v>437</v>
      </c>
      <c r="C201" s="17" t="s">
        <v>9</v>
      </c>
      <c r="D201" s="17" t="s">
        <v>10</v>
      </c>
      <c r="E201" s="18">
        <v>46120</v>
      </c>
      <c r="F201" s="19" t="s">
        <v>511</v>
      </c>
      <c r="G201" s="94">
        <f t="shared" si="31"/>
        <v>46576</v>
      </c>
      <c r="H201" s="20">
        <v>1</v>
      </c>
      <c r="I201" s="24">
        <v>1633689.399999999</v>
      </c>
      <c r="J201" s="24">
        <v>5097</v>
      </c>
      <c r="K201" s="24">
        <v>4999</v>
      </c>
      <c r="L201" s="21">
        <v>1234077.77</v>
      </c>
      <c r="M201" s="24">
        <v>9250000</v>
      </c>
      <c r="N201" s="22">
        <f t="shared" ref="N201:N242" si="33">IFERROR(L201/I201,"")</f>
        <v>0.75539314266224711</v>
      </c>
      <c r="O201" s="22">
        <f t="shared" si="32"/>
        <v>0.19996</v>
      </c>
    </row>
    <row r="202" spans="1:15" x14ac:dyDescent="0.3">
      <c r="B202" s="16" t="s">
        <v>436</v>
      </c>
      <c r="C202" s="17" t="s">
        <v>16</v>
      </c>
      <c r="D202" s="17" t="s">
        <v>10</v>
      </c>
      <c r="E202" s="18">
        <v>46115</v>
      </c>
      <c r="F202" s="19" t="s">
        <v>511</v>
      </c>
      <c r="G202" s="94">
        <f t="shared" si="31"/>
        <v>46571</v>
      </c>
      <c r="H202" s="20">
        <v>1</v>
      </c>
      <c r="I202" s="24">
        <v>1479323.8400000003</v>
      </c>
      <c r="J202" s="24">
        <v>4603</v>
      </c>
      <c r="K202" s="24">
        <v>4603</v>
      </c>
      <c r="L202" s="21">
        <v>700000</v>
      </c>
      <c r="M202" s="24">
        <v>9250000</v>
      </c>
      <c r="N202" s="22">
        <f t="shared" si="33"/>
        <v>0.47318915647300042</v>
      </c>
      <c r="O202" s="22">
        <f t="shared" si="32"/>
        <v>0.18412000000000001</v>
      </c>
    </row>
    <row r="203" spans="1:15" x14ac:dyDescent="0.3">
      <c r="B203" s="16" t="s">
        <v>514</v>
      </c>
      <c r="C203" s="17" t="s">
        <v>16</v>
      </c>
      <c r="D203" s="17" t="s">
        <v>3</v>
      </c>
      <c r="E203" s="18">
        <v>46140</v>
      </c>
      <c r="F203" s="19" t="s">
        <v>511</v>
      </c>
      <c r="G203" s="94">
        <f t="shared" si="31"/>
        <v>46596</v>
      </c>
      <c r="H203" s="20">
        <v>1</v>
      </c>
      <c r="I203" s="24">
        <v>299718.13</v>
      </c>
      <c r="J203" s="24">
        <v>919</v>
      </c>
      <c r="K203" s="24">
        <v>919</v>
      </c>
      <c r="L203" s="21">
        <v>165565.32</v>
      </c>
      <c r="M203" s="24">
        <v>3000000</v>
      </c>
      <c r="N203" s="22">
        <f t="shared" si="33"/>
        <v>0.55240341983983421</v>
      </c>
      <c r="O203" s="22">
        <f t="shared" si="32"/>
        <v>0.18379999999999999</v>
      </c>
    </row>
    <row r="204" spans="1:15" x14ac:dyDescent="0.3">
      <c r="B204" s="16" t="s">
        <v>336</v>
      </c>
      <c r="C204" s="17" t="s">
        <v>13</v>
      </c>
      <c r="D204" s="17" t="s">
        <v>3</v>
      </c>
      <c r="E204" s="18">
        <v>45838</v>
      </c>
      <c r="F204" s="19">
        <v>6</v>
      </c>
      <c r="G204" s="94">
        <f t="shared" si="31"/>
        <v>46295</v>
      </c>
      <c r="H204" s="20">
        <v>1</v>
      </c>
      <c r="I204" s="21">
        <v>307226.02999999991</v>
      </c>
      <c r="J204" s="21">
        <v>894</v>
      </c>
      <c r="K204" s="21">
        <v>894</v>
      </c>
      <c r="L204" s="21">
        <v>288456.46999999997</v>
      </c>
      <c r="M204" s="21">
        <v>3000000</v>
      </c>
      <c r="N204" s="22">
        <f t="shared" si="33"/>
        <v>0.93890634852782506</v>
      </c>
      <c r="O204" s="22">
        <f t="shared" si="32"/>
        <v>0.17879999999999999</v>
      </c>
    </row>
    <row r="205" spans="1:15" x14ac:dyDescent="0.3">
      <c r="B205" s="16" t="s">
        <v>419</v>
      </c>
      <c r="C205" s="17" t="s">
        <v>13</v>
      </c>
      <c r="D205" s="17" t="s">
        <v>17</v>
      </c>
      <c r="E205" s="18">
        <v>46107</v>
      </c>
      <c r="F205" s="19" t="s">
        <v>416</v>
      </c>
      <c r="G205" s="94">
        <f t="shared" si="31"/>
        <v>46564</v>
      </c>
      <c r="H205" s="20">
        <v>1</v>
      </c>
      <c r="I205" s="24">
        <v>789037.28999999992</v>
      </c>
      <c r="J205" s="24">
        <v>2618</v>
      </c>
      <c r="K205" s="24">
        <v>2618</v>
      </c>
      <c r="L205" s="21">
        <v>244684.11999999997</v>
      </c>
      <c r="M205" s="24">
        <v>5500000</v>
      </c>
      <c r="N205" s="22">
        <f t="shared" si="33"/>
        <v>0.31010463396476484</v>
      </c>
      <c r="O205" s="22">
        <f t="shared" si="32"/>
        <v>0.17453333333333335</v>
      </c>
    </row>
    <row r="206" spans="1:15" x14ac:dyDescent="0.3">
      <c r="B206" s="16" t="s">
        <v>371</v>
      </c>
      <c r="C206" s="17" t="s">
        <v>42</v>
      </c>
      <c r="D206" s="17" t="s">
        <v>3</v>
      </c>
      <c r="E206" s="18">
        <v>45849</v>
      </c>
      <c r="F206" s="19">
        <v>7</v>
      </c>
      <c r="G206" s="94">
        <f t="shared" si="31"/>
        <v>46306</v>
      </c>
      <c r="H206" s="20">
        <v>1</v>
      </c>
      <c r="I206" s="21">
        <v>295873.01000000013</v>
      </c>
      <c r="J206" s="21">
        <v>854</v>
      </c>
      <c r="K206" s="21">
        <v>849</v>
      </c>
      <c r="L206" s="21">
        <v>313666.96999999997</v>
      </c>
      <c r="M206" s="21">
        <v>3000000</v>
      </c>
      <c r="N206" s="22">
        <f t="shared" si="33"/>
        <v>1.0601405312366945</v>
      </c>
      <c r="O206" s="22">
        <f t="shared" si="32"/>
        <v>0.16980000000000001</v>
      </c>
    </row>
    <row r="207" spans="1:15" x14ac:dyDescent="0.3">
      <c r="B207" s="16" t="s">
        <v>405</v>
      </c>
      <c r="C207" s="17" t="s">
        <v>389</v>
      </c>
      <c r="D207" s="17" t="s">
        <v>3</v>
      </c>
      <c r="E207" s="18">
        <v>45966</v>
      </c>
      <c r="F207" s="19">
        <v>11</v>
      </c>
      <c r="G207" s="94">
        <f t="shared" si="31"/>
        <v>46423</v>
      </c>
      <c r="H207" s="20">
        <v>1</v>
      </c>
      <c r="I207" s="24">
        <v>320266.17</v>
      </c>
      <c r="J207" s="24">
        <v>798</v>
      </c>
      <c r="K207" s="24">
        <v>798</v>
      </c>
      <c r="L207" s="21">
        <v>50000</v>
      </c>
      <c r="M207" s="21">
        <v>1850000</v>
      </c>
      <c r="N207" s="22">
        <f t="shared" si="33"/>
        <v>0.15612014219297657</v>
      </c>
      <c r="O207" s="22">
        <f t="shared" si="32"/>
        <v>0.15959999999999999</v>
      </c>
    </row>
    <row r="208" spans="1:15" x14ac:dyDescent="0.3">
      <c r="B208" s="16" t="s">
        <v>291</v>
      </c>
      <c r="C208" s="17" t="s">
        <v>2</v>
      </c>
      <c r="D208" s="17" t="s">
        <v>3</v>
      </c>
      <c r="E208" s="18">
        <v>45792</v>
      </c>
      <c r="F208" s="19">
        <v>5</v>
      </c>
      <c r="G208" s="94">
        <f t="shared" si="31"/>
        <v>46249</v>
      </c>
      <c r="H208" s="20">
        <v>1</v>
      </c>
      <c r="I208" s="21">
        <v>305685.83000000025</v>
      </c>
      <c r="J208" s="21">
        <v>796</v>
      </c>
      <c r="K208" s="21">
        <v>795</v>
      </c>
      <c r="L208" s="21">
        <v>355673.91000000003</v>
      </c>
      <c r="M208" s="21">
        <v>3000000</v>
      </c>
      <c r="N208" s="22">
        <f t="shared" si="33"/>
        <v>1.1635276322752668</v>
      </c>
      <c r="O208" s="22">
        <f t="shared" si="32"/>
        <v>0.159</v>
      </c>
    </row>
    <row r="209" spans="2:15" x14ac:dyDescent="0.3">
      <c r="B209" s="16" t="s">
        <v>512</v>
      </c>
      <c r="C209" s="17" t="s">
        <v>9</v>
      </c>
      <c r="D209" s="17" t="s">
        <v>10</v>
      </c>
      <c r="E209" s="18">
        <v>46140</v>
      </c>
      <c r="F209" s="19" t="s">
        <v>511</v>
      </c>
      <c r="G209" s="94">
        <f t="shared" si="31"/>
        <v>46596</v>
      </c>
      <c r="H209" s="20">
        <v>1</v>
      </c>
      <c r="I209" s="24">
        <v>1246595.3699999996</v>
      </c>
      <c r="J209" s="24">
        <v>3930</v>
      </c>
      <c r="K209" s="24">
        <v>3930</v>
      </c>
      <c r="L209" s="21">
        <v>700000</v>
      </c>
      <c r="M209" s="24">
        <v>9000000</v>
      </c>
      <c r="N209" s="22">
        <f t="shared" si="33"/>
        <v>0.56152943998179639</v>
      </c>
      <c r="O209" s="22">
        <f t="shared" si="32"/>
        <v>0.15720000000000001</v>
      </c>
    </row>
    <row r="210" spans="2:15" x14ac:dyDescent="0.3">
      <c r="B210" s="16" t="s">
        <v>293</v>
      </c>
      <c r="C210" s="17" t="s">
        <v>133</v>
      </c>
      <c r="D210" s="17" t="s">
        <v>3</v>
      </c>
      <c r="E210" s="18">
        <v>45806</v>
      </c>
      <c r="F210" s="19">
        <v>5</v>
      </c>
      <c r="G210" s="94">
        <f t="shared" si="31"/>
        <v>46263</v>
      </c>
      <c r="H210" s="20">
        <v>1</v>
      </c>
      <c r="I210" s="21">
        <v>272833.64000000083</v>
      </c>
      <c r="J210" s="21">
        <v>782</v>
      </c>
      <c r="K210" s="21">
        <v>782</v>
      </c>
      <c r="L210" s="21">
        <v>305836.06</v>
      </c>
      <c r="M210" s="21">
        <v>1848700</v>
      </c>
      <c r="N210" s="22">
        <f t="shared" si="33"/>
        <v>1.1209616966588103</v>
      </c>
      <c r="O210" s="22">
        <f t="shared" si="32"/>
        <v>0.15640000000000001</v>
      </c>
    </row>
    <row r="211" spans="2:15" x14ac:dyDescent="0.3">
      <c r="B211" s="16" t="s">
        <v>386</v>
      </c>
      <c r="C211" s="17" t="s">
        <v>9</v>
      </c>
      <c r="D211" s="17" t="s">
        <v>3</v>
      </c>
      <c r="E211" s="18">
        <v>45891</v>
      </c>
      <c r="F211" s="19">
        <v>8</v>
      </c>
      <c r="G211" s="94">
        <f t="shared" si="31"/>
        <v>46348</v>
      </c>
      <c r="H211" s="20">
        <v>1</v>
      </c>
      <c r="I211" s="21">
        <v>251712.29000000027</v>
      </c>
      <c r="J211" s="21">
        <v>707</v>
      </c>
      <c r="K211" s="21">
        <v>704</v>
      </c>
      <c r="L211" s="21">
        <v>277587.63</v>
      </c>
      <c r="M211" s="21">
        <v>3000000</v>
      </c>
      <c r="N211" s="22">
        <f t="shared" si="33"/>
        <v>1.1027972849478256</v>
      </c>
      <c r="O211" s="22">
        <f t="shared" si="32"/>
        <v>0.14080000000000001</v>
      </c>
    </row>
    <row r="212" spans="2:15" x14ac:dyDescent="0.3">
      <c r="B212" s="16" t="s">
        <v>295</v>
      </c>
      <c r="C212" s="17" t="s">
        <v>9</v>
      </c>
      <c r="D212" s="17" t="s">
        <v>3</v>
      </c>
      <c r="E212" s="18">
        <v>45784</v>
      </c>
      <c r="F212" s="19">
        <v>5</v>
      </c>
      <c r="G212" s="94">
        <f t="shared" si="31"/>
        <v>46241</v>
      </c>
      <c r="H212" s="20">
        <v>1</v>
      </c>
      <c r="I212" s="21">
        <v>242304.70999999993</v>
      </c>
      <c r="J212" s="21">
        <v>673</v>
      </c>
      <c r="K212" s="21">
        <v>673</v>
      </c>
      <c r="L212" s="21">
        <v>273804.13</v>
      </c>
      <c r="M212" s="21">
        <v>3000000</v>
      </c>
      <c r="N212" s="22">
        <f t="shared" si="33"/>
        <v>1.1299992063711848</v>
      </c>
      <c r="O212" s="22">
        <f t="shared" si="32"/>
        <v>0.1346</v>
      </c>
    </row>
    <row r="213" spans="2:15" x14ac:dyDescent="0.3">
      <c r="B213" s="16" t="s">
        <v>219</v>
      </c>
      <c r="C213" s="17" t="s">
        <v>9</v>
      </c>
      <c r="D213" s="17" t="s">
        <v>3</v>
      </c>
      <c r="E213" s="18">
        <v>45748</v>
      </c>
      <c r="F213" s="19">
        <v>4</v>
      </c>
      <c r="G213" s="94">
        <f t="shared" ref="G213:G246" si="34">EDATE(E213,15)</f>
        <v>46204</v>
      </c>
      <c r="H213" s="20">
        <v>1</v>
      </c>
      <c r="I213" s="21">
        <v>227325.6800000004</v>
      </c>
      <c r="J213" s="21">
        <v>619</v>
      </c>
      <c r="K213" s="21">
        <v>619</v>
      </c>
      <c r="L213" s="21">
        <v>256880.82</v>
      </c>
      <c r="M213" s="21">
        <v>3000000</v>
      </c>
      <c r="N213" s="22">
        <f t="shared" si="33"/>
        <v>1.1300123241685653</v>
      </c>
      <c r="O213" s="22">
        <f t="shared" si="32"/>
        <v>0.12379999999999999</v>
      </c>
    </row>
    <row r="214" spans="2:15" x14ac:dyDescent="0.3">
      <c r="B214" s="16" t="s">
        <v>517</v>
      </c>
      <c r="C214" s="17" t="s">
        <v>6</v>
      </c>
      <c r="D214" s="17" t="s">
        <v>17</v>
      </c>
      <c r="E214" s="18">
        <v>46134</v>
      </c>
      <c r="F214" s="19" t="s">
        <v>511</v>
      </c>
      <c r="G214" s="94">
        <f t="shared" si="34"/>
        <v>46590</v>
      </c>
      <c r="H214" s="20">
        <v>1</v>
      </c>
      <c r="I214" s="24">
        <v>509363.82000000018</v>
      </c>
      <c r="J214" s="24">
        <v>1617</v>
      </c>
      <c r="K214" s="24">
        <v>1617</v>
      </c>
      <c r="L214" s="21">
        <v>225027.04</v>
      </c>
      <c r="M214" s="24">
        <v>7500000</v>
      </c>
      <c r="N214" s="22">
        <f t="shared" si="33"/>
        <v>0.44178057247960784</v>
      </c>
      <c r="O214" s="22">
        <f t="shared" si="32"/>
        <v>0.10780000000000001</v>
      </c>
    </row>
    <row r="215" spans="2:15" x14ac:dyDescent="0.3">
      <c r="B215" s="16" t="s">
        <v>221</v>
      </c>
      <c r="C215" s="17" t="s">
        <v>170</v>
      </c>
      <c r="D215" s="17" t="s">
        <v>3</v>
      </c>
      <c r="E215" s="18">
        <v>45777</v>
      </c>
      <c r="F215" s="19">
        <v>4</v>
      </c>
      <c r="G215" s="94">
        <f t="shared" si="34"/>
        <v>46233</v>
      </c>
      <c r="H215" s="20">
        <v>1</v>
      </c>
      <c r="I215" s="21">
        <v>198119.17000000004</v>
      </c>
      <c r="J215" s="21">
        <v>539</v>
      </c>
      <c r="K215" s="21">
        <v>536</v>
      </c>
      <c r="L215" s="21">
        <v>224856.94</v>
      </c>
      <c r="M215" s="21">
        <v>1850000</v>
      </c>
      <c r="N215" s="22">
        <f t="shared" si="33"/>
        <v>1.1349580154207186</v>
      </c>
      <c r="O215" s="22">
        <f t="shared" si="32"/>
        <v>0.1072</v>
      </c>
    </row>
    <row r="216" spans="2:15" x14ac:dyDescent="0.3">
      <c r="B216" s="16" t="s">
        <v>338</v>
      </c>
      <c r="C216" s="17" t="s">
        <v>9</v>
      </c>
      <c r="D216" s="17" t="s">
        <v>3</v>
      </c>
      <c r="E216" s="18">
        <v>45828</v>
      </c>
      <c r="F216" s="19">
        <v>6</v>
      </c>
      <c r="G216" s="94">
        <f t="shared" si="34"/>
        <v>46285</v>
      </c>
      <c r="H216" s="20">
        <v>1</v>
      </c>
      <c r="I216" s="21">
        <v>183518.04000000004</v>
      </c>
      <c r="J216" s="21">
        <v>514</v>
      </c>
      <c r="K216" s="21">
        <v>493</v>
      </c>
      <c r="L216" s="21">
        <v>207288.03999999998</v>
      </c>
      <c r="M216" s="21">
        <v>3000000</v>
      </c>
      <c r="N216" s="22">
        <f t="shared" si="33"/>
        <v>1.1295240511505023</v>
      </c>
      <c r="O216" s="22">
        <f t="shared" si="32"/>
        <v>9.8599999999999993E-2</v>
      </c>
    </row>
    <row r="217" spans="2:15" x14ac:dyDescent="0.3">
      <c r="B217" s="16" t="s">
        <v>340</v>
      </c>
      <c r="C217" s="17" t="s">
        <v>170</v>
      </c>
      <c r="D217" s="17" t="s">
        <v>3</v>
      </c>
      <c r="E217" s="18">
        <v>45831</v>
      </c>
      <c r="F217" s="19">
        <v>6</v>
      </c>
      <c r="G217" s="94">
        <f t="shared" si="34"/>
        <v>46288</v>
      </c>
      <c r="H217" s="20">
        <v>1</v>
      </c>
      <c r="I217" s="21">
        <v>149865.34999999998</v>
      </c>
      <c r="J217" s="21">
        <v>445</v>
      </c>
      <c r="K217" s="21">
        <v>445</v>
      </c>
      <c r="L217" s="21">
        <v>163429.33000000002</v>
      </c>
      <c r="M217" s="21">
        <v>3000000</v>
      </c>
      <c r="N217" s="22">
        <f t="shared" si="33"/>
        <v>1.0905077791497504</v>
      </c>
      <c r="O217" s="22">
        <f t="shared" si="32"/>
        <v>8.8999999999999996E-2</v>
      </c>
    </row>
    <row r="218" spans="2:15" x14ac:dyDescent="0.3">
      <c r="B218" s="16" t="s">
        <v>223</v>
      </c>
      <c r="C218" s="17" t="s">
        <v>2</v>
      </c>
      <c r="D218" s="17" t="s">
        <v>3</v>
      </c>
      <c r="E218" s="18">
        <v>45758</v>
      </c>
      <c r="F218" s="19">
        <v>4</v>
      </c>
      <c r="G218" s="94">
        <f t="shared" si="34"/>
        <v>46214</v>
      </c>
      <c r="H218" s="20">
        <v>1</v>
      </c>
      <c r="I218" s="21">
        <v>165323.35999999999</v>
      </c>
      <c r="J218" s="21">
        <v>444</v>
      </c>
      <c r="K218" s="21">
        <v>442</v>
      </c>
      <c r="L218" s="21">
        <v>175001.03999999998</v>
      </c>
      <c r="M218" s="21">
        <v>2950000</v>
      </c>
      <c r="N218" s="22">
        <f t="shared" si="33"/>
        <v>1.0585378859950583</v>
      </c>
      <c r="O218" s="22">
        <f t="shared" si="32"/>
        <v>8.8400000000000006E-2</v>
      </c>
    </row>
    <row r="219" spans="2:15" x14ac:dyDescent="0.3">
      <c r="B219" s="16" t="s">
        <v>396</v>
      </c>
      <c r="C219" s="17" t="s">
        <v>2</v>
      </c>
      <c r="D219" s="17" t="s">
        <v>3</v>
      </c>
      <c r="E219" s="18">
        <v>45922</v>
      </c>
      <c r="F219" s="19">
        <v>9</v>
      </c>
      <c r="G219" s="94">
        <f t="shared" si="34"/>
        <v>46378</v>
      </c>
      <c r="H219" s="20">
        <v>1</v>
      </c>
      <c r="I219" s="24">
        <v>140815.4</v>
      </c>
      <c r="J219" s="24">
        <v>410</v>
      </c>
      <c r="K219" s="24">
        <v>410</v>
      </c>
      <c r="L219" s="21">
        <v>160000</v>
      </c>
      <c r="M219" s="21">
        <v>3000000</v>
      </c>
      <c r="N219" s="22">
        <f t="shared" si="33"/>
        <v>1.1362393601836163</v>
      </c>
      <c r="O219" s="22">
        <f t="shared" si="32"/>
        <v>8.2000000000000003E-2</v>
      </c>
    </row>
    <row r="220" spans="2:15" x14ac:dyDescent="0.3">
      <c r="B220" s="16" t="s">
        <v>139</v>
      </c>
      <c r="C220" s="17" t="s">
        <v>9</v>
      </c>
      <c r="D220" s="17" t="s">
        <v>3</v>
      </c>
      <c r="E220" s="18">
        <v>45747</v>
      </c>
      <c r="F220" s="19">
        <v>3</v>
      </c>
      <c r="G220" s="94">
        <f t="shared" si="34"/>
        <v>46203</v>
      </c>
      <c r="H220" s="20">
        <v>1</v>
      </c>
      <c r="I220" s="21">
        <v>134999.99999999997</v>
      </c>
      <c r="J220" s="21">
        <v>408</v>
      </c>
      <c r="K220" s="21">
        <v>407</v>
      </c>
      <c r="L220" s="21">
        <v>123340.65000000001</v>
      </c>
      <c r="M220" s="21">
        <v>3000000</v>
      </c>
      <c r="N220" s="22">
        <f t="shared" si="33"/>
        <v>0.91363444444444475</v>
      </c>
      <c r="O220" s="22">
        <f t="shared" si="32"/>
        <v>8.14E-2</v>
      </c>
    </row>
    <row r="221" spans="2:15" x14ac:dyDescent="0.3">
      <c r="B221" s="16" t="s">
        <v>414</v>
      </c>
      <c r="C221" s="17" t="s">
        <v>13</v>
      </c>
      <c r="D221" s="17" t="s">
        <v>3</v>
      </c>
      <c r="E221" s="18">
        <v>46079</v>
      </c>
      <c r="F221" s="19" t="s">
        <v>413</v>
      </c>
      <c r="G221" s="94">
        <f t="shared" si="34"/>
        <v>46533</v>
      </c>
      <c r="H221" s="20">
        <v>1</v>
      </c>
      <c r="I221" s="24">
        <v>117618.26999999999</v>
      </c>
      <c r="J221" s="24">
        <v>391</v>
      </c>
      <c r="K221" s="24">
        <v>391</v>
      </c>
      <c r="L221" s="21">
        <v>108774.39999999999</v>
      </c>
      <c r="M221" s="21">
        <v>3000000</v>
      </c>
      <c r="N221" s="22">
        <f t="shared" si="33"/>
        <v>0.92480870531423398</v>
      </c>
      <c r="O221" s="22">
        <f t="shared" si="32"/>
        <v>7.8200000000000006E-2</v>
      </c>
    </row>
    <row r="222" spans="2:15" x14ac:dyDescent="0.3">
      <c r="B222" s="16" t="s">
        <v>418</v>
      </c>
      <c r="C222" s="17" t="s">
        <v>389</v>
      </c>
      <c r="D222" s="17" t="s">
        <v>3</v>
      </c>
      <c r="E222" s="18">
        <v>46100</v>
      </c>
      <c r="F222" s="19" t="s">
        <v>416</v>
      </c>
      <c r="G222" s="94">
        <f t="shared" si="34"/>
        <v>46557</v>
      </c>
      <c r="H222" s="20">
        <v>1</v>
      </c>
      <c r="I222" s="24">
        <v>133325.11000000002</v>
      </c>
      <c r="J222" s="24">
        <v>365</v>
      </c>
      <c r="K222" s="24">
        <v>365</v>
      </c>
      <c r="L222" s="21">
        <v>150657.4</v>
      </c>
      <c r="M222" s="24">
        <v>3000000</v>
      </c>
      <c r="N222" s="22">
        <f t="shared" si="33"/>
        <v>1.1300001927618883</v>
      </c>
      <c r="O222" s="22">
        <f t="shared" si="32"/>
        <v>7.2999999999999995E-2</v>
      </c>
    </row>
    <row r="223" spans="2:15" x14ac:dyDescent="0.3">
      <c r="B223" s="16" t="s">
        <v>422</v>
      </c>
      <c r="C223" s="17" t="s">
        <v>9</v>
      </c>
      <c r="D223" s="17" t="s">
        <v>17</v>
      </c>
      <c r="E223" s="18">
        <v>46092</v>
      </c>
      <c r="F223" s="19" t="s">
        <v>416</v>
      </c>
      <c r="G223" s="94">
        <f t="shared" si="34"/>
        <v>46549</v>
      </c>
      <c r="H223" s="20">
        <v>1</v>
      </c>
      <c r="I223" s="24">
        <v>308639.89999999997</v>
      </c>
      <c r="J223" s="24">
        <v>938</v>
      </c>
      <c r="K223" s="24">
        <v>938</v>
      </c>
      <c r="L223" s="21">
        <v>398504.79000000004</v>
      </c>
      <c r="M223" s="21">
        <v>10400000</v>
      </c>
      <c r="N223" s="22">
        <f t="shared" si="33"/>
        <v>1.2911642013880904</v>
      </c>
      <c r="O223" s="22">
        <f t="shared" si="32"/>
        <v>6.253333333333333E-2</v>
      </c>
    </row>
    <row r="224" spans="2:15" x14ac:dyDescent="0.3">
      <c r="B224" s="16" t="s">
        <v>373</v>
      </c>
      <c r="C224" s="17" t="s">
        <v>36</v>
      </c>
      <c r="D224" s="17" t="s">
        <v>3</v>
      </c>
      <c r="E224" s="18">
        <v>45856</v>
      </c>
      <c r="F224" s="19">
        <v>7</v>
      </c>
      <c r="G224" s="94">
        <f t="shared" si="34"/>
        <v>46313</v>
      </c>
      <c r="H224" s="20">
        <v>1</v>
      </c>
      <c r="I224" s="21">
        <v>106547.98000000001</v>
      </c>
      <c r="J224" s="21">
        <v>308</v>
      </c>
      <c r="K224" s="21">
        <v>308</v>
      </c>
      <c r="L224" s="21">
        <v>107409.47</v>
      </c>
      <c r="M224" s="21">
        <v>1850000</v>
      </c>
      <c r="N224" s="22">
        <f t="shared" si="33"/>
        <v>1.0080854653462223</v>
      </c>
      <c r="O224" s="22">
        <f t="shared" si="32"/>
        <v>6.1600000000000002E-2</v>
      </c>
    </row>
    <row r="225" spans="2:15" x14ac:dyDescent="0.3">
      <c r="B225" s="16" t="s">
        <v>424</v>
      </c>
      <c r="C225" s="17" t="s">
        <v>2</v>
      </c>
      <c r="D225" s="17" t="s">
        <v>3</v>
      </c>
      <c r="E225" s="18">
        <v>46111</v>
      </c>
      <c r="F225" s="19" t="s">
        <v>416</v>
      </c>
      <c r="G225" s="94">
        <f t="shared" si="34"/>
        <v>46568</v>
      </c>
      <c r="H225" s="20">
        <v>1</v>
      </c>
      <c r="I225" s="24">
        <v>99824.959999999992</v>
      </c>
      <c r="J225" s="24">
        <v>300</v>
      </c>
      <c r="K225" s="24">
        <v>300</v>
      </c>
      <c r="L225" s="21">
        <v>3059.8</v>
      </c>
      <c r="M225" s="24">
        <v>3000000</v>
      </c>
      <c r="N225" s="22">
        <f t="shared" si="33"/>
        <v>3.0651652652803472E-2</v>
      </c>
      <c r="O225" s="22">
        <f t="shared" si="32"/>
        <v>0.06</v>
      </c>
    </row>
    <row r="226" spans="2:15" x14ac:dyDescent="0.3">
      <c r="B226" s="16" t="s">
        <v>423</v>
      </c>
      <c r="C226" s="17" t="s">
        <v>9</v>
      </c>
      <c r="D226" s="17" t="s">
        <v>17</v>
      </c>
      <c r="E226" s="18">
        <v>46105</v>
      </c>
      <c r="F226" s="19" t="s">
        <v>416</v>
      </c>
      <c r="G226" s="94">
        <f t="shared" si="34"/>
        <v>46562</v>
      </c>
      <c r="H226" s="20">
        <v>1</v>
      </c>
      <c r="I226" s="24">
        <v>264241.86</v>
      </c>
      <c r="J226" s="24">
        <v>836</v>
      </c>
      <c r="K226" s="24">
        <v>836</v>
      </c>
      <c r="L226" s="21">
        <v>347343.04</v>
      </c>
      <c r="M226" s="24">
        <v>7000000</v>
      </c>
      <c r="N226" s="22">
        <f t="shared" si="33"/>
        <v>1.3144890820856316</v>
      </c>
      <c r="O226" s="22">
        <f t="shared" si="32"/>
        <v>5.5733333333333336E-2</v>
      </c>
    </row>
    <row r="227" spans="2:15" x14ac:dyDescent="0.3">
      <c r="B227" s="16" t="s">
        <v>342</v>
      </c>
      <c r="C227" s="17" t="s">
        <v>9</v>
      </c>
      <c r="D227" s="17" t="s">
        <v>3</v>
      </c>
      <c r="E227" s="18">
        <v>45817</v>
      </c>
      <c r="F227" s="19">
        <v>6</v>
      </c>
      <c r="G227" s="94">
        <f t="shared" si="34"/>
        <v>46274</v>
      </c>
      <c r="H227" s="20">
        <v>1</v>
      </c>
      <c r="I227" s="21">
        <v>102297.90000000011</v>
      </c>
      <c r="J227" s="21">
        <v>274</v>
      </c>
      <c r="K227" s="21">
        <v>273</v>
      </c>
      <c r="L227" s="21">
        <v>115596.57</v>
      </c>
      <c r="M227" s="21">
        <v>3000000</v>
      </c>
      <c r="N227" s="22">
        <f t="shared" si="33"/>
        <v>1.12999944280381</v>
      </c>
      <c r="O227" s="22">
        <f t="shared" si="32"/>
        <v>5.4600000000000003E-2</v>
      </c>
    </row>
    <row r="228" spans="2:15" x14ac:dyDescent="0.3">
      <c r="B228" s="16" t="s">
        <v>297</v>
      </c>
      <c r="C228" s="17" t="s">
        <v>42</v>
      </c>
      <c r="D228" s="17" t="s">
        <v>3</v>
      </c>
      <c r="E228" s="18">
        <v>45785</v>
      </c>
      <c r="F228" s="19">
        <v>5</v>
      </c>
      <c r="G228" s="94">
        <f t="shared" si="34"/>
        <v>46242</v>
      </c>
      <c r="H228" s="20">
        <v>1</v>
      </c>
      <c r="I228" s="21">
        <v>83923.75</v>
      </c>
      <c r="J228" s="21">
        <v>266</v>
      </c>
      <c r="K228" s="21">
        <v>266</v>
      </c>
      <c r="L228" s="21">
        <v>20749.500000000004</v>
      </c>
      <c r="M228" s="21">
        <v>3000000</v>
      </c>
      <c r="N228" s="22">
        <f t="shared" si="33"/>
        <v>0.2472422883867797</v>
      </c>
      <c r="O228" s="22">
        <f t="shared" si="32"/>
        <v>5.3199999999999997E-2</v>
      </c>
    </row>
    <row r="229" spans="2:15" x14ac:dyDescent="0.3">
      <c r="B229" s="16" t="s">
        <v>374</v>
      </c>
      <c r="C229" s="17" t="s">
        <v>133</v>
      </c>
      <c r="D229" s="17" t="s">
        <v>3</v>
      </c>
      <c r="E229" s="18">
        <v>45852</v>
      </c>
      <c r="F229" s="19">
        <v>7</v>
      </c>
      <c r="G229" s="94">
        <f t="shared" si="34"/>
        <v>46309</v>
      </c>
      <c r="H229" s="20">
        <v>1</v>
      </c>
      <c r="I229" s="21">
        <v>94043.830000000031</v>
      </c>
      <c r="J229" s="21">
        <v>274</v>
      </c>
      <c r="K229" s="21">
        <v>263</v>
      </c>
      <c r="L229" s="21">
        <v>104098.56000000001</v>
      </c>
      <c r="M229" s="21">
        <v>1678960</v>
      </c>
      <c r="N229" s="22">
        <f t="shared" si="33"/>
        <v>1.1069153606355673</v>
      </c>
      <c r="O229" s="22">
        <f t="shared" si="32"/>
        <v>5.2600000000000001E-2</v>
      </c>
    </row>
    <row r="230" spans="2:15" x14ac:dyDescent="0.3">
      <c r="B230" s="16" t="s">
        <v>141</v>
      </c>
      <c r="C230" s="17" t="s">
        <v>9</v>
      </c>
      <c r="D230" s="17" t="s">
        <v>17</v>
      </c>
      <c r="E230" s="18">
        <v>45719</v>
      </c>
      <c r="F230" s="19">
        <v>3</v>
      </c>
      <c r="G230" s="94">
        <f t="shared" si="34"/>
        <v>46176</v>
      </c>
      <c r="H230" s="20">
        <v>1</v>
      </c>
      <c r="I230" s="21">
        <v>293705.50000000006</v>
      </c>
      <c r="J230" s="21">
        <v>781</v>
      </c>
      <c r="K230" s="21">
        <v>781</v>
      </c>
      <c r="L230" s="21">
        <v>334494.04999999993</v>
      </c>
      <c r="M230" s="21">
        <v>12000000</v>
      </c>
      <c r="N230" s="22">
        <f t="shared" si="33"/>
        <v>1.1388756764854586</v>
      </c>
      <c r="O230" s="22">
        <f t="shared" si="32"/>
        <v>5.2066666666666664E-2</v>
      </c>
    </row>
    <row r="231" spans="2:15" x14ac:dyDescent="0.3">
      <c r="B231" s="16" t="s">
        <v>420</v>
      </c>
      <c r="C231" s="17" t="s">
        <v>2</v>
      </c>
      <c r="D231" s="17" t="s">
        <v>3</v>
      </c>
      <c r="E231" s="18">
        <v>46097</v>
      </c>
      <c r="F231" s="19" t="s">
        <v>416</v>
      </c>
      <c r="G231" s="94">
        <f t="shared" si="34"/>
        <v>46554</v>
      </c>
      <c r="H231" s="20">
        <v>1</v>
      </c>
      <c r="I231" s="24">
        <v>114999.34999999995</v>
      </c>
      <c r="J231" s="24">
        <v>238</v>
      </c>
      <c r="K231" s="24">
        <v>238</v>
      </c>
      <c r="L231" s="21">
        <v>103939.38</v>
      </c>
      <c r="M231" s="24">
        <v>3500000</v>
      </c>
      <c r="N231" s="22">
        <f t="shared" si="33"/>
        <v>0.90382580423280701</v>
      </c>
      <c r="O231" s="22">
        <f t="shared" si="32"/>
        <v>4.7600000000000003E-2</v>
      </c>
    </row>
    <row r="232" spans="2:15" x14ac:dyDescent="0.3">
      <c r="B232" s="16" t="s">
        <v>438</v>
      </c>
      <c r="C232" s="17" t="s">
        <v>13</v>
      </c>
      <c r="D232" s="17" t="s">
        <v>17</v>
      </c>
      <c r="E232" s="18">
        <v>46113</v>
      </c>
      <c r="F232" s="19" t="s">
        <v>511</v>
      </c>
      <c r="G232" s="94">
        <f t="shared" si="34"/>
        <v>46569</v>
      </c>
      <c r="H232" s="20">
        <v>1</v>
      </c>
      <c r="I232" s="24">
        <v>206107.72000000003</v>
      </c>
      <c r="J232" s="24">
        <v>672</v>
      </c>
      <c r="K232" s="24">
        <v>672</v>
      </c>
      <c r="L232" s="21">
        <v>3399.2</v>
      </c>
      <c r="M232" s="24">
        <v>6000000</v>
      </c>
      <c r="N232" s="22">
        <f t="shared" si="33"/>
        <v>1.649234681747971E-2</v>
      </c>
      <c r="O232" s="22">
        <f t="shared" si="32"/>
        <v>4.48E-2</v>
      </c>
    </row>
    <row r="233" spans="2:15" x14ac:dyDescent="0.3">
      <c r="B233" s="16" t="s">
        <v>513</v>
      </c>
      <c r="C233" s="17" t="s">
        <v>13</v>
      </c>
      <c r="D233" s="17" t="s">
        <v>3</v>
      </c>
      <c r="E233" s="18">
        <v>46140</v>
      </c>
      <c r="F233" s="19" t="s">
        <v>511</v>
      </c>
      <c r="G233" s="94">
        <f t="shared" si="34"/>
        <v>46596</v>
      </c>
      <c r="H233" s="20">
        <v>1</v>
      </c>
      <c r="I233" s="24">
        <v>73020.889999999985</v>
      </c>
      <c r="J233" s="24">
        <v>220</v>
      </c>
      <c r="K233" s="24">
        <v>220</v>
      </c>
      <c r="L233" s="21">
        <v>58228.04</v>
      </c>
      <c r="M233" s="24">
        <v>5300000</v>
      </c>
      <c r="N233" s="22">
        <f t="shared" si="33"/>
        <v>0.79741619144877596</v>
      </c>
      <c r="O233" s="22">
        <f t="shared" si="32"/>
        <v>4.3999999999999997E-2</v>
      </c>
    </row>
    <row r="234" spans="2:15" x14ac:dyDescent="0.3">
      <c r="B234" s="23" t="s">
        <v>397</v>
      </c>
      <c r="C234" s="17" t="s">
        <v>42</v>
      </c>
      <c r="D234" s="17" t="s">
        <v>3</v>
      </c>
      <c r="E234" s="18">
        <v>45910</v>
      </c>
      <c r="F234" s="19">
        <v>9</v>
      </c>
      <c r="G234" s="94">
        <f t="shared" si="34"/>
        <v>46366</v>
      </c>
      <c r="H234" s="20">
        <v>1</v>
      </c>
      <c r="I234" s="21">
        <v>54131.560000000012</v>
      </c>
      <c r="J234" s="21">
        <v>154</v>
      </c>
      <c r="K234" s="21">
        <v>154</v>
      </c>
      <c r="L234" s="21">
        <v>62389.240000000005</v>
      </c>
      <c r="M234" s="21">
        <v>3000000</v>
      </c>
      <c r="N234" s="22">
        <f t="shared" si="33"/>
        <v>1.1525483470271316</v>
      </c>
      <c r="O234" s="22">
        <f t="shared" si="32"/>
        <v>3.0800000000000001E-2</v>
      </c>
    </row>
    <row r="235" spans="2:15" x14ac:dyDescent="0.3">
      <c r="B235" s="16" t="s">
        <v>421</v>
      </c>
      <c r="C235" s="17" t="s">
        <v>42</v>
      </c>
      <c r="D235" s="17" t="s">
        <v>3</v>
      </c>
      <c r="E235" s="18">
        <v>46092</v>
      </c>
      <c r="F235" s="19" t="s">
        <v>416</v>
      </c>
      <c r="G235" s="94">
        <f t="shared" si="34"/>
        <v>46549</v>
      </c>
      <c r="H235" s="20">
        <v>1</v>
      </c>
      <c r="I235" s="24">
        <v>37455.380000000005</v>
      </c>
      <c r="J235" s="24">
        <v>104</v>
      </c>
      <c r="K235" s="24">
        <v>104</v>
      </c>
      <c r="L235" s="21">
        <v>0</v>
      </c>
      <c r="M235" s="21">
        <v>3000000</v>
      </c>
      <c r="N235" s="22"/>
      <c r="O235" s="22">
        <f t="shared" si="32"/>
        <v>2.0799999999999999E-2</v>
      </c>
    </row>
    <row r="236" spans="2:15" x14ac:dyDescent="0.3">
      <c r="B236" s="16" t="s">
        <v>344</v>
      </c>
      <c r="C236" s="17" t="s">
        <v>9</v>
      </c>
      <c r="D236" s="17" t="s">
        <v>3</v>
      </c>
      <c r="E236" s="18">
        <v>45814</v>
      </c>
      <c r="F236" s="19">
        <v>6</v>
      </c>
      <c r="G236" s="94">
        <f t="shared" si="34"/>
        <v>46271</v>
      </c>
      <c r="H236" s="20">
        <v>1</v>
      </c>
      <c r="I236" s="21">
        <v>32477.919999999998</v>
      </c>
      <c r="J236" s="21">
        <v>94</v>
      </c>
      <c r="K236" s="21">
        <v>94</v>
      </c>
      <c r="L236" s="21">
        <v>36705.86</v>
      </c>
      <c r="M236" s="21">
        <v>3000000</v>
      </c>
      <c r="N236" s="22">
        <f t="shared" si="33"/>
        <v>1.1301789030824634</v>
      </c>
      <c r="O236" s="22">
        <f t="shared" si="32"/>
        <v>1.8800000000000001E-2</v>
      </c>
    </row>
    <row r="237" spans="2:15" x14ac:dyDescent="0.3">
      <c r="B237" s="16" t="s">
        <v>143</v>
      </c>
      <c r="C237" s="17" t="s">
        <v>42</v>
      </c>
      <c r="D237" s="17" t="s">
        <v>3</v>
      </c>
      <c r="E237" s="18">
        <v>45740</v>
      </c>
      <c r="F237" s="19">
        <v>3</v>
      </c>
      <c r="G237" s="94">
        <f t="shared" si="34"/>
        <v>46197</v>
      </c>
      <c r="H237" s="20">
        <v>1</v>
      </c>
      <c r="I237" s="21">
        <v>21000.619999999817</v>
      </c>
      <c r="J237" s="21">
        <v>70</v>
      </c>
      <c r="K237" s="21">
        <v>70</v>
      </c>
      <c r="L237" s="21">
        <v>23730.9</v>
      </c>
      <c r="M237" s="21">
        <v>3000000</v>
      </c>
      <c r="N237" s="22">
        <f t="shared" si="33"/>
        <v>1.1300094949577779</v>
      </c>
      <c r="O237" s="22">
        <f t="shared" si="32"/>
        <v>1.4E-2</v>
      </c>
    </row>
    <row r="238" spans="2:15" x14ac:dyDescent="0.3">
      <c r="B238" s="16" t="s">
        <v>376</v>
      </c>
      <c r="C238" s="17" t="s">
        <v>42</v>
      </c>
      <c r="D238" s="17" t="s">
        <v>3</v>
      </c>
      <c r="E238" s="18">
        <v>45855</v>
      </c>
      <c r="F238" s="19">
        <v>7</v>
      </c>
      <c r="G238" s="94">
        <f t="shared" si="34"/>
        <v>46312</v>
      </c>
      <c r="H238" s="20">
        <v>1</v>
      </c>
      <c r="I238" s="21">
        <v>32489.35</v>
      </c>
      <c r="J238" s="21">
        <v>55</v>
      </c>
      <c r="K238" s="21">
        <v>55</v>
      </c>
      <c r="L238" s="21">
        <v>25460.52</v>
      </c>
      <c r="M238" s="21">
        <v>3000000</v>
      </c>
      <c r="N238" s="22">
        <f t="shared" si="33"/>
        <v>0.78365741389101351</v>
      </c>
      <c r="O238" s="22">
        <f t="shared" si="32"/>
        <v>1.0999999999999999E-2</v>
      </c>
    </row>
    <row r="239" spans="2:15" x14ac:dyDescent="0.3">
      <c r="B239" s="16" t="s">
        <v>227</v>
      </c>
      <c r="C239" s="17" t="s">
        <v>133</v>
      </c>
      <c r="D239" s="17" t="s">
        <v>3</v>
      </c>
      <c r="E239" s="18">
        <v>45763</v>
      </c>
      <c r="F239" s="19">
        <v>4</v>
      </c>
      <c r="G239" s="94">
        <f t="shared" si="34"/>
        <v>46219</v>
      </c>
      <c r="H239" s="20">
        <v>1</v>
      </c>
      <c r="I239" s="21">
        <v>17468.559999999998</v>
      </c>
      <c r="J239" s="21">
        <v>52</v>
      </c>
      <c r="K239" s="21">
        <v>52</v>
      </c>
      <c r="L239" s="21">
        <v>19739.559999999998</v>
      </c>
      <c r="M239" s="21">
        <v>1848700</v>
      </c>
      <c r="N239" s="22">
        <f t="shared" si="33"/>
        <v>1.1300049918253137</v>
      </c>
      <c r="O239" s="22">
        <f t="shared" si="32"/>
        <v>1.04E-2</v>
      </c>
    </row>
    <row r="240" spans="2:15" x14ac:dyDescent="0.3">
      <c r="B240" s="16" t="s">
        <v>435</v>
      </c>
      <c r="C240" s="17" t="s">
        <v>42</v>
      </c>
      <c r="D240" s="17" t="s">
        <v>3</v>
      </c>
      <c r="E240" s="18">
        <v>46115</v>
      </c>
      <c r="F240" s="19" t="s">
        <v>511</v>
      </c>
      <c r="G240" s="94">
        <f t="shared" si="34"/>
        <v>46571</v>
      </c>
      <c r="H240" s="20">
        <v>1</v>
      </c>
      <c r="I240" s="24">
        <v>16531.93</v>
      </c>
      <c r="J240" s="24">
        <v>49</v>
      </c>
      <c r="K240" s="24">
        <v>49</v>
      </c>
      <c r="L240" s="21">
        <v>13242.36</v>
      </c>
      <c r="M240" s="24">
        <v>3000000</v>
      </c>
      <c r="N240" s="22">
        <f t="shared" si="33"/>
        <v>0.80101718311171177</v>
      </c>
      <c r="O240" s="22">
        <f t="shared" si="32"/>
        <v>9.7999999999999997E-3</v>
      </c>
    </row>
    <row r="241" spans="2:15" x14ac:dyDescent="0.3">
      <c r="B241" s="16" t="s">
        <v>300</v>
      </c>
      <c r="C241" s="17" t="s">
        <v>9</v>
      </c>
      <c r="D241" s="17" t="s">
        <v>3</v>
      </c>
      <c r="E241" s="18">
        <v>45797</v>
      </c>
      <c r="F241" s="19">
        <v>5</v>
      </c>
      <c r="G241" s="94">
        <f t="shared" si="34"/>
        <v>46254</v>
      </c>
      <c r="H241" s="20">
        <v>1</v>
      </c>
      <c r="I241" s="21">
        <v>21440.389999999985</v>
      </c>
      <c r="J241" s="21">
        <v>26</v>
      </c>
      <c r="K241" s="21">
        <v>23</v>
      </c>
      <c r="L241" s="21">
        <v>24227.469999999998</v>
      </c>
      <c r="M241" s="21">
        <v>3000000</v>
      </c>
      <c r="N241" s="22">
        <f t="shared" si="33"/>
        <v>1.1299920383910933</v>
      </c>
      <c r="O241" s="22">
        <f t="shared" si="32"/>
        <v>4.5999999999999999E-3</v>
      </c>
    </row>
    <row r="242" spans="2:15" x14ac:dyDescent="0.3">
      <c r="B242" s="16" t="s">
        <v>425</v>
      </c>
      <c r="C242" s="17" t="s">
        <v>42</v>
      </c>
      <c r="D242" s="17" t="s">
        <v>3</v>
      </c>
      <c r="E242" s="18">
        <v>46092</v>
      </c>
      <c r="F242" s="19" t="s">
        <v>416</v>
      </c>
      <c r="G242" s="94">
        <f t="shared" si="34"/>
        <v>46549</v>
      </c>
      <c r="H242" s="20">
        <v>1</v>
      </c>
      <c r="I242" s="24">
        <v>5629.5099999999993</v>
      </c>
      <c r="J242" s="24">
        <v>17</v>
      </c>
      <c r="K242" s="24">
        <v>17</v>
      </c>
      <c r="L242" s="21">
        <v>2063.8000000000002</v>
      </c>
      <c r="M242" s="21">
        <v>3000000</v>
      </c>
      <c r="N242" s="22">
        <f t="shared" si="33"/>
        <v>0.366603842963242</v>
      </c>
      <c r="O242" s="22">
        <f t="shared" si="32"/>
        <v>3.3999999999999998E-3</v>
      </c>
    </row>
    <row r="243" spans="2:15" x14ac:dyDescent="0.3">
      <c r="B243" s="16" t="s">
        <v>529</v>
      </c>
      <c r="C243" s="17" t="s">
        <v>13</v>
      </c>
      <c r="D243" s="17" t="s">
        <v>3</v>
      </c>
      <c r="E243" s="18">
        <v>46148</v>
      </c>
      <c r="F243" s="19" t="s">
        <v>530</v>
      </c>
      <c r="G243" s="94">
        <f t="shared" si="34"/>
        <v>46605</v>
      </c>
      <c r="H243" s="20">
        <v>1</v>
      </c>
      <c r="I243" s="24">
        <v>33479.62999999999</v>
      </c>
      <c r="J243" s="24">
        <v>90</v>
      </c>
      <c r="K243" s="24">
        <v>90</v>
      </c>
      <c r="L243" s="21">
        <v>0</v>
      </c>
      <c r="M243" s="24">
        <v>2900000</v>
      </c>
      <c r="N243" s="22">
        <f t="shared" ref="N243:N246" si="35">IFERROR(L243/I243,"")</f>
        <v>0</v>
      </c>
      <c r="O243" s="22">
        <f t="shared" ref="O243:O246" si="36">IF(D243="a",K243/25000,IF(D243="b",K243/15000,IF(D243="c",K243/5000)))/H243</f>
        <v>1.7999999999999999E-2</v>
      </c>
    </row>
    <row r="244" spans="2:15" x14ac:dyDescent="0.3">
      <c r="B244" s="16" t="s">
        <v>531</v>
      </c>
      <c r="C244" s="17" t="s">
        <v>2</v>
      </c>
      <c r="D244" s="17" t="s">
        <v>3</v>
      </c>
      <c r="E244" s="18">
        <v>46153</v>
      </c>
      <c r="F244" s="19" t="s">
        <v>530</v>
      </c>
      <c r="G244" s="94">
        <f t="shared" si="34"/>
        <v>46610</v>
      </c>
      <c r="H244" s="20">
        <v>1</v>
      </c>
      <c r="I244" s="24">
        <v>0</v>
      </c>
      <c r="J244" s="24">
        <v>0</v>
      </c>
      <c r="K244" s="24">
        <v>0</v>
      </c>
      <c r="L244" s="21">
        <v>0</v>
      </c>
      <c r="M244" s="24">
        <v>3000000</v>
      </c>
      <c r="N244" s="22" t="str">
        <f t="shared" si="35"/>
        <v/>
      </c>
      <c r="O244" s="22">
        <f t="shared" si="36"/>
        <v>0</v>
      </c>
    </row>
    <row r="245" spans="2:15" x14ac:dyDescent="0.3">
      <c r="B245" s="16" t="s">
        <v>532</v>
      </c>
      <c r="C245" s="17" t="s">
        <v>13</v>
      </c>
      <c r="D245" s="17" t="s">
        <v>3</v>
      </c>
      <c r="E245" s="18">
        <v>46155</v>
      </c>
      <c r="F245" s="19" t="s">
        <v>530</v>
      </c>
      <c r="G245" s="94">
        <f t="shared" si="34"/>
        <v>46612</v>
      </c>
      <c r="H245" s="20">
        <v>1</v>
      </c>
      <c r="I245" s="24">
        <v>51911.889999999992</v>
      </c>
      <c r="J245" s="24">
        <v>164</v>
      </c>
      <c r="K245" s="24">
        <v>164</v>
      </c>
      <c r="L245" s="21">
        <v>0</v>
      </c>
      <c r="M245" s="24">
        <v>5400000</v>
      </c>
      <c r="N245" s="22">
        <f t="shared" si="35"/>
        <v>0</v>
      </c>
      <c r="O245" s="22">
        <f t="shared" si="36"/>
        <v>3.2800000000000003E-2</v>
      </c>
    </row>
    <row r="246" spans="2:15" x14ac:dyDescent="0.3">
      <c r="B246" s="16" t="s">
        <v>533</v>
      </c>
      <c r="C246" s="17" t="s">
        <v>42</v>
      </c>
      <c r="D246" s="17" t="s">
        <v>3</v>
      </c>
      <c r="E246" s="18">
        <v>46155</v>
      </c>
      <c r="F246" s="19" t="s">
        <v>530</v>
      </c>
      <c r="G246" s="94">
        <f t="shared" si="34"/>
        <v>46612</v>
      </c>
      <c r="H246" s="20">
        <v>1</v>
      </c>
      <c r="I246" s="24">
        <v>8723.590000000002</v>
      </c>
      <c r="J246" s="24">
        <v>29</v>
      </c>
      <c r="K246" s="24">
        <v>29</v>
      </c>
      <c r="L246" s="21">
        <v>0</v>
      </c>
      <c r="M246" s="24">
        <v>3000000</v>
      </c>
      <c r="N246" s="22">
        <f t="shared" si="35"/>
        <v>0</v>
      </c>
      <c r="O246" s="22">
        <f t="shared" si="36"/>
        <v>5.7999999999999996E-3</v>
      </c>
    </row>
  </sheetData>
  <autoFilter ref="A3:O242" xr:uid="{405A6DC8-D308-4B8E-882C-1845AE328F93}">
    <sortState xmlns:xlrd2="http://schemas.microsoft.com/office/spreadsheetml/2017/richdata2" ref="A4:O238">
      <sortCondition ref="B3:B238"/>
    </sortState>
  </autoFilter>
  <mergeCells count="3">
    <mergeCell ref="B2:H2"/>
    <mergeCell ref="I2:M2"/>
    <mergeCell ref="N2:O2"/>
  </mergeCells>
  <phoneticPr fontId="3" type="noConversion"/>
  <conditionalFormatting sqref="B247:B1048576 B1:B3">
    <cfRule type="duplicateValues" dxfId="3" priority="11"/>
  </conditionalFormatting>
  <conditionalFormatting sqref="N1:O1 N2 N3:O3 N247:O1048576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{55A3B577-A2ED-4DD3-84D4-E22F43CAD38C}</x14:id>
        </ext>
      </extLst>
    </cfRule>
  </conditionalFormatting>
  <conditionalFormatting sqref="N1:O1 N247:O1048576 N3:O3 N2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{1AA3320A-F086-4239-B672-487405E2FDCA}</x14:id>
        </ext>
      </extLst>
    </cfRule>
  </conditionalFormatting>
  <conditionalFormatting sqref="N4:O24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{5CFD5BEC-E6E4-4D4E-A22A-01B7F0519FBA}</x14:id>
        </ext>
      </extLst>
    </cfRule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{D95A0907-7B6C-45E6-B84B-87C5153575B4}</x14:id>
        </ext>
      </extLst>
    </cfRule>
  </conditionalFormatting>
  <conditionalFormatting sqref="N247:O104857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{996F31B9-838C-47B0-AA27-075ADCA62F18}</x14:id>
        </ext>
      </extLst>
    </cfRule>
  </conditionalFormatting>
  <conditionalFormatting sqref="B4:B199">
    <cfRule type="duplicateValues" dxfId="1" priority="2"/>
  </conditionalFormatting>
  <conditionalFormatting sqref="B201:B246">
    <cfRule type="duplicateValues" dxfId="0" priority="1"/>
  </conditionalFormatting>
  <pageMargins left="0.25" right="0.25" top="0.75" bottom="0.75" header="0.3" footer="0.3"/>
  <pageSetup paperSize="9" scale="56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3B577-A2ED-4DD3-84D4-E22F43CAD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N1:O1 N2 N3:O3 N247:O1048576</xm:sqref>
        </x14:conditionalFormatting>
        <x14:conditionalFormatting xmlns:xm="http://schemas.microsoft.com/office/excel/2006/main">
          <x14:cfRule type="dataBar" id="{1AA3320A-F086-4239-B672-487405E2F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N1:O1 N247:O1048576 N3:O3 N2</xm:sqref>
        </x14:conditionalFormatting>
        <x14:conditionalFormatting xmlns:xm="http://schemas.microsoft.com/office/excel/2006/main">
          <x14:cfRule type="dataBar" id="{5CFD5BEC-E6E4-4D4E-A22A-01B7F0519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5A0907-7B6C-45E6-B84B-87C5153575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N4:O246</xm:sqref>
        </x14:conditionalFormatting>
        <x14:conditionalFormatting xmlns:xm="http://schemas.microsoft.com/office/excel/2006/main">
          <x14:cfRule type="dataBar" id="{996F31B9-838C-47B0-AA27-075ADCA62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N247:O1048576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98CA-07B8-469C-8272-21CF31E320C4}">
  <dimension ref="A1:P250"/>
  <sheetViews>
    <sheetView showGridLines="0" zoomScale="80" zoomScaleNormal="80" workbookViewId="0">
      <pane ySplit="4" topLeftCell="A5" activePane="bottomLeft" state="frozen"/>
      <selection pane="bottomLeft" activeCell="B15" sqref="B15"/>
    </sheetView>
  </sheetViews>
  <sheetFormatPr defaultRowHeight="16" x14ac:dyDescent="0.3"/>
  <cols>
    <col min="1" max="1" width="5" style="30" customWidth="1"/>
    <col min="2" max="2" width="26.1640625" style="50" customWidth="1"/>
    <col min="3" max="3" width="9.6640625" style="60" customWidth="1"/>
    <col min="4" max="4" width="25.58203125" style="52" customWidth="1"/>
    <col min="5" max="5" width="8.6640625" style="52" customWidth="1"/>
    <col min="6" max="6" width="9.83203125" style="53" customWidth="1"/>
    <col min="7" max="10" width="8.6640625" style="53" customWidth="1"/>
    <col min="11" max="11" width="8.6640625" style="52"/>
    <col min="12" max="12" width="8.6640625" style="61"/>
    <col min="13" max="13" width="8.6640625" style="30"/>
    <col min="14" max="14" width="7.6640625" style="30" customWidth="1"/>
    <col min="15" max="15" width="11.4140625" style="32" customWidth="1"/>
    <col min="16" max="16" width="14.33203125" style="30" customWidth="1"/>
    <col min="17" max="16384" width="8.6640625" style="30"/>
  </cols>
  <sheetData>
    <row r="1" spans="2:16" x14ac:dyDescent="0.3">
      <c r="B1" s="29" t="s">
        <v>426</v>
      </c>
      <c r="C1" s="30"/>
      <c r="D1" s="30"/>
      <c r="E1" s="30"/>
      <c r="F1" s="31"/>
      <c r="G1" s="31"/>
      <c r="H1" s="31"/>
      <c r="I1" s="31"/>
      <c r="J1" s="31">
        <v>486</v>
      </c>
      <c r="K1" s="30"/>
      <c r="L1" s="30"/>
    </row>
    <row r="2" spans="2:16" s="36" customFormat="1" ht="35" customHeight="1" x14ac:dyDescent="0.3">
      <c r="B2" s="65" t="s">
        <v>518</v>
      </c>
      <c r="C2" s="33" t="s">
        <v>427</v>
      </c>
      <c r="D2" s="34" t="s">
        <v>428</v>
      </c>
      <c r="E2" s="34" t="s">
        <v>429</v>
      </c>
      <c r="F2" s="35" t="s">
        <v>430</v>
      </c>
      <c r="G2" s="90" t="s">
        <v>520</v>
      </c>
      <c r="H2" s="91"/>
      <c r="I2" s="92" t="s">
        <v>522</v>
      </c>
      <c r="J2" s="93"/>
      <c r="K2" s="88" t="s">
        <v>521</v>
      </c>
      <c r="L2" s="89"/>
      <c r="M2" s="88" t="s">
        <v>431</v>
      </c>
      <c r="N2" s="89"/>
      <c r="O2" s="86" t="s">
        <v>523</v>
      </c>
      <c r="P2" s="86" t="s">
        <v>524</v>
      </c>
    </row>
    <row r="3" spans="2:16" s="36" customFormat="1" ht="16" customHeight="1" x14ac:dyDescent="0.3">
      <c r="B3" s="37"/>
      <c r="C3" s="38"/>
      <c r="D3" s="39"/>
      <c r="E3" s="39"/>
      <c r="F3" s="40"/>
      <c r="G3" s="41" t="s">
        <v>432</v>
      </c>
      <c r="H3" s="41" t="s">
        <v>433</v>
      </c>
      <c r="I3" s="41" t="s">
        <v>432</v>
      </c>
      <c r="J3" s="41" t="s">
        <v>433</v>
      </c>
      <c r="K3" s="42" t="s">
        <v>432</v>
      </c>
      <c r="L3" s="43" t="s">
        <v>433</v>
      </c>
      <c r="M3" s="42" t="s">
        <v>432</v>
      </c>
      <c r="N3" s="43" t="s">
        <v>433</v>
      </c>
      <c r="O3" s="87"/>
      <c r="P3" s="87"/>
    </row>
    <row r="4" spans="2:16" s="46" customFormat="1" x14ac:dyDescent="0.3">
      <c r="B4" s="44" t="s">
        <v>525</v>
      </c>
      <c r="C4" s="44"/>
      <c r="D4" s="66"/>
      <c r="E4" s="66"/>
      <c r="F4" s="45">
        <v>284</v>
      </c>
      <c r="G4" s="45">
        <f>SUM(G7:G266)</f>
        <v>1516</v>
      </c>
      <c r="H4" s="45">
        <f t="shared" ref="H4:L4" si="0">SUM(H7:H266)</f>
        <v>1124</v>
      </c>
      <c r="I4" s="45">
        <f>SUM(I5:I266)</f>
        <v>773</v>
      </c>
      <c r="J4" s="45">
        <f t="shared" si="0"/>
        <v>246</v>
      </c>
      <c r="K4" s="67">
        <f t="shared" si="0"/>
        <v>1168</v>
      </c>
      <c r="L4" s="68">
        <f t="shared" si="0"/>
        <v>878</v>
      </c>
      <c r="M4" s="69">
        <f>I4/G4</f>
        <v>0.50989445910290232</v>
      </c>
      <c r="N4" s="69">
        <f>J4/H4</f>
        <v>0.2188612099644128</v>
      </c>
      <c r="O4" s="70">
        <f>SUM(O7:O1048576)</f>
        <v>11560</v>
      </c>
      <c r="P4" s="70">
        <f>SUM(P7:P1048576)</f>
        <v>58480</v>
      </c>
    </row>
    <row r="5" spans="2:16" s="46" customFormat="1" ht="17" x14ac:dyDescent="0.3">
      <c r="B5" s="47" t="s">
        <v>526</v>
      </c>
      <c r="C5" s="47"/>
      <c r="D5" s="48">
        <v>5</v>
      </c>
      <c r="E5" s="71"/>
      <c r="F5" s="49"/>
      <c r="G5" s="49"/>
      <c r="H5" s="49"/>
      <c r="I5" s="49">
        <v>100</v>
      </c>
      <c r="J5" s="49"/>
      <c r="K5" s="72"/>
      <c r="L5" s="73"/>
      <c r="M5" s="74"/>
      <c r="N5" s="74"/>
      <c r="O5" s="75"/>
      <c r="P5" s="76"/>
    </row>
    <row r="6" spans="2:16" s="46" customFormat="1" x14ac:dyDescent="0.3">
      <c r="B6" s="47" t="s">
        <v>527</v>
      </c>
      <c r="C6" s="47"/>
      <c r="D6" s="71"/>
      <c r="E6" s="71"/>
      <c r="F6" s="49"/>
      <c r="G6" s="49"/>
      <c r="H6" s="49"/>
      <c r="I6" s="49">
        <v>325</v>
      </c>
      <c r="J6" s="49"/>
      <c r="K6" s="72"/>
      <c r="L6" s="73"/>
      <c r="M6" s="74"/>
      <c r="N6" s="74"/>
      <c r="O6" s="75"/>
      <c r="P6" s="76"/>
    </row>
    <row r="7" spans="2:16" ht="14" customHeight="1" x14ac:dyDescent="0.3">
      <c r="B7" s="51" t="s">
        <v>247</v>
      </c>
      <c r="C7" s="51" t="s">
        <v>6</v>
      </c>
      <c r="D7" s="53" t="s">
        <v>11</v>
      </c>
      <c r="E7" s="53" t="s">
        <v>3</v>
      </c>
      <c r="F7" s="53">
        <v>1</v>
      </c>
      <c r="G7" s="54">
        <v>4</v>
      </c>
      <c r="H7" s="54">
        <v>2</v>
      </c>
      <c r="I7" s="54">
        <v>7</v>
      </c>
      <c r="J7" s="54">
        <v>0</v>
      </c>
      <c r="K7" s="54">
        <v>-3</v>
      </c>
      <c r="L7" s="55">
        <v>2</v>
      </c>
      <c r="M7" s="56">
        <v>1.75</v>
      </c>
      <c r="N7" s="56">
        <v>0</v>
      </c>
      <c r="O7" s="54">
        <v>80</v>
      </c>
      <c r="P7" s="55">
        <v>20</v>
      </c>
    </row>
    <row r="8" spans="2:16" x14ac:dyDescent="0.3">
      <c r="B8" s="51" t="s">
        <v>391</v>
      </c>
      <c r="C8" s="51" t="s">
        <v>42</v>
      </c>
      <c r="D8" s="53" t="s">
        <v>439</v>
      </c>
      <c r="E8" s="53" t="s">
        <v>3</v>
      </c>
      <c r="F8" s="53">
        <v>1</v>
      </c>
      <c r="G8" s="54">
        <v>4</v>
      </c>
      <c r="H8" s="54">
        <v>2</v>
      </c>
      <c r="I8" s="54">
        <v>0</v>
      </c>
      <c r="J8" s="54">
        <v>0</v>
      </c>
      <c r="K8" s="54">
        <v>4</v>
      </c>
      <c r="L8" s="55">
        <v>2</v>
      </c>
      <c r="M8" s="56">
        <v>0</v>
      </c>
      <c r="N8" s="56">
        <v>0</v>
      </c>
      <c r="O8" s="54">
        <v>0</v>
      </c>
      <c r="P8" s="55">
        <v>160</v>
      </c>
    </row>
    <row r="9" spans="2:16" x14ac:dyDescent="0.3">
      <c r="B9" s="51" t="s">
        <v>128</v>
      </c>
      <c r="C9" s="51" t="s">
        <v>6</v>
      </c>
      <c r="D9" s="53" t="s">
        <v>21</v>
      </c>
      <c r="E9" s="53" t="s">
        <v>17</v>
      </c>
      <c r="F9" s="53">
        <v>1</v>
      </c>
      <c r="G9" s="54">
        <v>6</v>
      </c>
      <c r="H9" s="54">
        <v>6</v>
      </c>
      <c r="I9" s="54">
        <v>0</v>
      </c>
      <c r="J9" s="54">
        <v>0</v>
      </c>
      <c r="K9" s="54">
        <v>6</v>
      </c>
      <c r="L9" s="55">
        <v>6</v>
      </c>
      <c r="M9" s="56">
        <v>0</v>
      </c>
      <c r="N9" s="56">
        <v>0</v>
      </c>
      <c r="O9" s="54">
        <v>0</v>
      </c>
      <c r="P9" s="55">
        <v>360</v>
      </c>
    </row>
    <row r="10" spans="2:16" x14ac:dyDescent="0.3">
      <c r="B10" s="51" t="s">
        <v>33</v>
      </c>
      <c r="C10" s="51" t="s">
        <v>16</v>
      </c>
      <c r="D10" s="53" t="s">
        <v>160</v>
      </c>
      <c r="E10" s="53" t="s">
        <v>17</v>
      </c>
      <c r="F10" s="53">
        <v>1</v>
      </c>
      <c r="G10" s="54">
        <v>6</v>
      </c>
      <c r="H10" s="54">
        <v>6</v>
      </c>
      <c r="I10" s="54">
        <v>1</v>
      </c>
      <c r="J10" s="54">
        <v>0</v>
      </c>
      <c r="K10" s="54">
        <v>5</v>
      </c>
      <c r="L10" s="55">
        <v>6</v>
      </c>
      <c r="M10" s="56">
        <v>0.16666666666666666</v>
      </c>
      <c r="N10" s="56">
        <v>0</v>
      </c>
      <c r="O10" s="54">
        <v>0</v>
      </c>
      <c r="P10" s="55">
        <v>340</v>
      </c>
    </row>
    <row r="11" spans="2:16" x14ac:dyDescent="0.3">
      <c r="B11" s="51" t="s">
        <v>397</v>
      </c>
      <c r="C11" s="51" t="s">
        <v>42</v>
      </c>
      <c r="D11" s="53" t="s">
        <v>440</v>
      </c>
      <c r="E11" s="53" t="s">
        <v>3</v>
      </c>
      <c r="F11" s="53">
        <v>1</v>
      </c>
      <c r="G11" s="54">
        <v>4</v>
      </c>
      <c r="H11" s="54">
        <v>2</v>
      </c>
      <c r="I11" s="54">
        <v>0</v>
      </c>
      <c r="J11" s="54">
        <v>0</v>
      </c>
      <c r="K11" s="54">
        <v>4</v>
      </c>
      <c r="L11" s="55">
        <v>2</v>
      </c>
      <c r="M11" s="56">
        <v>0</v>
      </c>
      <c r="N11" s="56">
        <v>0</v>
      </c>
      <c r="O11" s="54">
        <v>0</v>
      </c>
      <c r="P11" s="55">
        <v>160</v>
      </c>
    </row>
    <row r="12" spans="2:16" x14ac:dyDescent="0.3">
      <c r="B12" s="51" t="s">
        <v>221</v>
      </c>
      <c r="C12" s="51" t="s">
        <v>170</v>
      </c>
      <c r="D12" s="53" t="s">
        <v>25</v>
      </c>
      <c r="E12" s="53" t="s">
        <v>3</v>
      </c>
      <c r="F12" s="53">
        <v>1</v>
      </c>
      <c r="G12" s="54">
        <v>4</v>
      </c>
      <c r="H12" s="54">
        <v>2</v>
      </c>
      <c r="I12" s="54">
        <v>0</v>
      </c>
      <c r="J12" s="54">
        <v>0</v>
      </c>
      <c r="K12" s="54">
        <v>4</v>
      </c>
      <c r="L12" s="55">
        <v>2</v>
      </c>
      <c r="M12" s="56">
        <v>0</v>
      </c>
      <c r="N12" s="56">
        <v>0</v>
      </c>
      <c r="O12" s="54">
        <v>0</v>
      </c>
      <c r="P12" s="55">
        <v>160</v>
      </c>
    </row>
    <row r="13" spans="2:16" x14ac:dyDescent="0.3">
      <c r="B13" s="51" t="s">
        <v>340</v>
      </c>
      <c r="C13" s="51" t="s">
        <v>170</v>
      </c>
      <c r="D13" s="53" t="s">
        <v>0</v>
      </c>
      <c r="E13" s="53" t="s">
        <v>3</v>
      </c>
      <c r="F13" s="53">
        <v>1</v>
      </c>
      <c r="G13" s="54">
        <v>4</v>
      </c>
      <c r="H13" s="54">
        <v>2</v>
      </c>
      <c r="I13" s="54">
        <v>0</v>
      </c>
      <c r="J13" s="54">
        <v>0</v>
      </c>
      <c r="K13" s="54">
        <v>4</v>
      </c>
      <c r="L13" s="55">
        <v>2</v>
      </c>
      <c r="M13" s="56">
        <v>0</v>
      </c>
      <c r="N13" s="56">
        <v>0</v>
      </c>
      <c r="O13" s="54">
        <v>0</v>
      </c>
      <c r="P13" s="55">
        <v>160</v>
      </c>
    </row>
    <row r="14" spans="2:16" x14ac:dyDescent="0.3">
      <c r="B14" s="51" t="s">
        <v>194</v>
      </c>
      <c r="C14" s="51" t="s">
        <v>9</v>
      </c>
      <c r="D14" s="53" t="s">
        <v>28</v>
      </c>
      <c r="E14" s="53" t="s">
        <v>17</v>
      </c>
      <c r="F14" s="53">
        <v>1</v>
      </c>
      <c r="G14" s="54">
        <v>6</v>
      </c>
      <c r="H14" s="54">
        <v>6</v>
      </c>
      <c r="I14" s="54">
        <v>3</v>
      </c>
      <c r="J14" s="54">
        <v>0</v>
      </c>
      <c r="K14" s="54">
        <v>3</v>
      </c>
      <c r="L14" s="55">
        <v>6</v>
      </c>
      <c r="M14" s="56">
        <v>0.5</v>
      </c>
      <c r="N14" s="56">
        <v>0</v>
      </c>
      <c r="O14" s="54">
        <v>0</v>
      </c>
      <c r="P14" s="55">
        <v>300</v>
      </c>
    </row>
    <row r="15" spans="2:16" x14ac:dyDescent="0.3">
      <c r="B15" s="51" t="s">
        <v>147</v>
      </c>
      <c r="C15" s="51" t="s">
        <v>9</v>
      </c>
      <c r="D15" s="53" t="s">
        <v>14</v>
      </c>
      <c r="E15" s="57" t="s">
        <v>3</v>
      </c>
      <c r="F15" s="53">
        <v>1</v>
      </c>
      <c r="G15" s="54">
        <v>4</v>
      </c>
      <c r="H15" s="54">
        <v>2</v>
      </c>
      <c r="I15" s="54">
        <v>2</v>
      </c>
      <c r="J15" s="54">
        <v>2</v>
      </c>
      <c r="K15" s="54">
        <v>2</v>
      </c>
      <c r="L15" s="55">
        <v>0</v>
      </c>
      <c r="M15" s="56">
        <v>0.5</v>
      </c>
      <c r="N15" s="56">
        <v>1</v>
      </c>
      <c r="O15" s="54">
        <v>99</v>
      </c>
      <c r="P15" s="55">
        <v>40</v>
      </c>
    </row>
    <row r="16" spans="2:16" x14ac:dyDescent="0.3">
      <c r="B16" s="51" t="s">
        <v>180</v>
      </c>
      <c r="C16" s="51" t="s">
        <v>9</v>
      </c>
      <c r="D16" s="53" t="s">
        <v>23</v>
      </c>
      <c r="E16" s="53" t="s">
        <v>3</v>
      </c>
      <c r="F16" s="53">
        <v>2</v>
      </c>
      <c r="G16" s="54">
        <v>8</v>
      </c>
      <c r="H16" s="54">
        <v>4</v>
      </c>
      <c r="I16" s="54">
        <v>0</v>
      </c>
      <c r="J16" s="54">
        <v>0</v>
      </c>
      <c r="K16" s="54">
        <v>8</v>
      </c>
      <c r="L16" s="55">
        <v>4</v>
      </c>
      <c r="M16" s="56">
        <v>0</v>
      </c>
      <c r="N16" s="56">
        <v>0</v>
      </c>
      <c r="O16" s="54">
        <v>0</v>
      </c>
      <c r="P16" s="55">
        <v>320</v>
      </c>
    </row>
    <row r="17" spans="2:16" x14ac:dyDescent="0.3">
      <c r="B17" s="51" t="s">
        <v>239</v>
      </c>
      <c r="C17" s="51" t="s">
        <v>9</v>
      </c>
      <c r="D17" s="53" t="s">
        <v>4</v>
      </c>
      <c r="E17" s="53" t="s">
        <v>3</v>
      </c>
      <c r="F17" s="53">
        <v>1</v>
      </c>
      <c r="G17" s="54">
        <v>4</v>
      </c>
      <c r="H17" s="54">
        <v>2</v>
      </c>
      <c r="I17" s="54">
        <v>0</v>
      </c>
      <c r="J17" s="54">
        <v>0</v>
      </c>
      <c r="K17" s="54">
        <v>4</v>
      </c>
      <c r="L17" s="55">
        <v>2</v>
      </c>
      <c r="M17" s="56">
        <v>0</v>
      </c>
      <c r="N17" s="56">
        <v>0</v>
      </c>
      <c r="O17" s="54">
        <v>0</v>
      </c>
      <c r="P17" s="55">
        <v>160</v>
      </c>
    </row>
    <row r="18" spans="2:16" x14ac:dyDescent="0.3">
      <c r="B18" s="51" t="s">
        <v>66</v>
      </c>
      <c r="C18" s="51" t="s">
        <v>9</v>
      </c>
      <c r="D18" s="53" t="s">
        <v>30</v>
      </c>
      <c r="E18" s="53" t="s">
        <v>3</v>
      </c>
      <c r="F18" s="53">
        <v>2</v>
      </c>
      <c r="G18" s="54">
        <v>8</v>
      </c>
      <c r="H18" s="54">
        <v>4</v>
      </c>
      <c r="I18" s="54">
        <v>2</v>
      </c>
      <c r="J18" s="54">
        <v>2</v>
      </c>
      <c r="K18" s="54">
        <v>6</v>
      </c>
      <c r="L18" s="55">
        <v>2</v>
      </c>
      <c r="M18" s="56">
        <v>0.25</v>
      </c>
      <c r="N18" s="56">
        <v>0.5</v>
      </c>
      <c r="O18" s="54">
        <v>120</v>
      </c>
      <c r="P18" s="55">
        <v>200</v>
      </c>
    </row>
    <row r="19" spans="2:16" x14ac:dyDescent="0.3">
      <c r="B19" s="51" t="s">
        <v>141</v>
      </c>
      <c r="C19" s="51" t="s">
        <v>9</v>
      </c>
      <c r="D19" s="53" t="s">
        <v>7</v>
      </c>
      <c r="E19" s="53" t="s">
        <v>17</v>
      </c>
      <c r="F19" s="53">
        <v>1</v>
      </c>
      <c r="G19" s="54">
        <v>6</v>
      </c>
      <c r="H19" s="54">
        <v>6</v>
      </c>
      <c r="I19" s="54">
        <v>0</v>
      </c>
      <c r="J19" s="54">
        <v>0</v>
      </c>
      <c r="K19" s="54">
        <v>6</v>
      </c>
      <c r="L19" s="55">
        <v>6</v>
      </c>
      <c r="M19" s="56">
        <v>0</v>
      </c>
      <c r="N19" s="56">
        <v>0</v>
      </c>
      <c r="O19" s="54">
        <v>0</v>
      </c>
      <c r="P19" s="55">
        <v>360</v>
      </c>
    </row>
    <row r="20" spans="2:16" x14ac:dyDescent="0.3">
      <c r="B20" s="51" t="s">
        <v>285</v>
      </c>
      <c r="C20" s="51" t="s">
        <v>9</v>
      </c>
      <c r="D20" s="53" t="s">
        <v>34</v>
      </c>
      <c r="E20" s="53" t="s">
        <v>3</v>
      </c>
      <c r="F20" s="53">
        <v>1</v>
      </c>
      <c r="G20" s="54">
        <v>4</v>
      </c>
      <c r="H20" s="54">
        <v>2</v>
      </c>
      <c r="I20" s="54">
        <v>0</v>
      </c>
      <c r="J20" s="54">
        <v>0</v>
      </c>
      <c r="K20" s="54">
        <v>4</v>
      </c>
      <c r="L20" s="55">
        <v>2</v>
      </c>
      <c r="M20" s="56">
        <v>0</v>
      </c>
      <c r="N20" s="56">
        <v>0</v>
      </c>
      <c r="O20" s="54">
        <v>0</v>
      </c>
      <c r="P20" s="55">
        <v>160</v>
      </c>
    </row>
    <row r="21" spans="2:16" x14ac:dyDescent="0.3">
      <c r="B21" s="51" t="s">
        <v>302</v>
      </c>
      <c r="C21" s="51" t="s">
        <v>9</v>
      </c>
      <c r="D21" s="53" t="s">
        <v>32</v>
      </c>
      <c r="E21" s="53" t="s">
        <v>3</v>
      </c>
      <c r="F21" s="53">
        <v>1</v>
      </c>
      <c r="G21" s="54">
        <v>4</v>
      </c>
      <c r="H21" s="54">
        <v>2</v>
      </c>
      <c r="I21" s="54">
        <v>4</v>
      </c>
      <c r="J21" s="54">
        <v>2</v>
      </c>
      <c r="K21" s="54">
        <v>0</v>
      </c>
      <c r="L21" s="55">
        <v>0</v>
      </c>
      <c r="M21" s="56">
        <v>1</v>
      </c>
      <c r="N21" s="56">
        <v>1</v>
      </c>
      <c r="O21" s="54">
        <v>131</v>
      </c>
      <c r="P21" s="55">
        <v>0</v>
      </c>
    </row>
    <row r="22" spans="2:16" x14ac:dyDescent="0.3">
      <c r="B22" s="51" t="s">
        <v>407</v>
      </c>
      <c r="C22" s="51" t="s">
        <v>9</v>
      </c>
      <c r="D22" s="53" t="s">
        <v>441</v>
      </c>
      <c r="E22" s="53" t="s">
        <v>17</v>
      </c>
      <c r="F22" s="53">
        <v>1</v>
      </c>
      <c r="G22" s="54">
        <v>6</v>
      </c>
      <c r="H22" s="54">
        <v>6</v>
      </c>
      <c r="I22" s="54">
        <v>0</v>
      </c>
      <c r="J22" s="54">
        <v>0</v>
      </c>
      <c r="K22" s="54">
        <v>6</v>
      </c>
      <c r="L22" s="55">
        <v>6</v>
      </c>
      <c r="M22" s="56">
        <v>0</v>
      </c>
      <c r="N22" s="56">
        <v>0</v>
      </c>
      <c r="O22" s="54">
        <v>0</v>
      </c>
      <c r="P22" s="55">
        <v>360</v>
      </c>
    </row>
    <row r="23" spans="2:16" x14ac:dyDescent="0.3">
      <c r="B23" s="51" t="s">
        <v>153</v>
      </c>
      <c r="C23" s="51" t="s">
        <v>9</v>
      </c>
      <c r="D23" s="53" t="s">
        <v>19</v>
      </c>
      <c r="E23" s="53" t="s">
        <v>3</v>
      </c>
      <c r="F23" s="53">
        <v>3</v>
      </c>
      <c r="G23" s="54">
        <v>12</v>
      </c>
      <c r="H23" s="54">
        <v>6</v>
      </c>
      <c r="I23" s="54">
        <v>4</v>
      </c>
      <c r="J23" s="54">
        <v>3</v>
      </c>
      <c r="K23" s="54">
        <v>8</v>
      </c>
      <c r="L23" s="55">
        <v>3</v>
      </c>
      <c r="M23" s="56">
        <v>0.33333333333333331</v>
      </c>
      <c r="N23" s="56">
        <v>0.5</v>
      </c>
      <c r="O23" s="54">
        <v>180</v>
      </c>
      <c r="P23" s="55">
        <v>280</v>
      </c>
    </row>
    <row r="24" spans="2:16" x14ac:dyDescent="0.3">
      <c r="B24" s="51" t="s">
        <v>112</v>
      </c>
      <c r="C24" s="51" t="s">
        <v>9</v>
      </c>
      <c r="D24" s="53" t="s">
        <v>140</v>
      </c>
      <c r="E24" s="53" t="s">
        <v>10</v>
      </c>
      <c r="F24" s="53">
        <v>2</v>
      </c>
      <c r="G24" s="54">
        <v>16</v>
      </c>
      <c r="H24" s="54">
        <v>16</v>
      </c>
      <c r="I24" s="54">
        <v>3</v>
      </c>
      <c r="J24" s="54">
        <v>0</v>
      </c>
      <c r="K24" s="54">
        <v>13</v>
      </c>
      <c r="L24" s="55">
        <v>16</v>
      </c>
      <c r="M24" s="56">
        <v>0.1875</v>
      </c>
      <c r="N24" s="56">
        <v>0</v>
      </c>
      <c r="O24" s="54">
        <v>0</v>
      </c>
      <c r="P24" s="55">
        <v>900</v>
      </c>
    </row>
    <row r="25" spans="2:16" x14ac:dyDescent="0.3">
      <c r="B25" s="51" t="s">
        <v>354</v>
      </c>
      <c r="C25" s="51" t="s">
        <v>9</v>
      </c>
      <c r="D25" s="53" t="s">
        <v>53</v>
      </c>
      <c r="E25" s="53" t="s">
        <v>10</v>
      </c>
      <c r="F25" s="53">
        <v>2</v>
      </c>
      <c r="G25" s="54">
        <v>16</v>
      </c>
      <c r="H25" s="54">
        <v>16</v>
      </c>
      <c r="I25" s="54">
        <v>6</v>
      </c>
      <c r="J25" s="54">
        <v>6</v>
      </c>
      <c r="K25" s="54">
        <v>10</v>
      </c>
      <c r="L25" s="55">
        <v>10</v>
      </c>
      <c r="M25" s="56">
        <v>0.375</v>
      </c>
      <c r="N25" s="56">
        <v>0.375</v>
      </c>
      <c r="O25" s="54">
        <v>360</v>
      </c>
      <c r="P25" s="55">
        <v>600</v>
      </c>
    </row>
    <row r="26" spans="2:16" x14ac:dyDescent="0.3">
      <c r="B26" s="51" t="s">
        <v>342</v>
      </c>
      <c r="C26" s="51" t="s">
        <v>9</v>
      </c>
      <c r="D26" s="53" t="s">
        <v>107</v>
      </c>
      <c r="E26" s="53" t="s">
        <v>3</v>
      </c>
      <c r="F26" s="53">
        <v>1</v>
      </c>
      <c r="G26" s="54">
        <v>4</v>
      </c>
      <c r="H26" s="54">
        <v>2</v>
      </c>
      <c r="I26" s="54">
        <v>0</v>
      </c>
      <c r="J26" s="54">
        <v>0</v>
      </c>
      <c r="K26" s="54">
        <v>4</v>
      </c>
      <c r="L26" s="55">
        <v>2</v>
      </c>
      <c r="M26" s="56">
        <v>0</v>
      </c>
      <c r="N26" s="56">
        <v>0</v>
      </c>
      <c r="O26" s="54">
        <v>0</v>
      </c>
      <c r="P26" s="55">
        <v>160</v>
      </c>
    </row>
    <row r="27" spans="2:16" x14ac:dyDescent="0.3">
      <c r="B27" s="51" t="s">
        <v>31</v>
      </c>
      <c r="C27" s="51" t="s">
        <v>9</v>
      </c>
      <c r="D27" s="53" t="s">
        <v>123</v>
      </c>
      <c r="E27" s="53" t="s">
        <v>3</v>
      </c>
      <c r="F27" s="53">
        <v>1</v>
      </c>
      <c r="G27" s="54">
        <v>4</v>
      </c>
      <c r="H27" s="54">
        <v>2</v>
      </c>
      <c r="I27" s="54">
        <v>0</v>
      </c>
      <c r="J27" s="54">
        <v>0</v>
      </c>
      <c r="K27" s="54">
        <v>4</v>
      </c>
      <c r="L27" s="55">
        <v>2</v>
      </c>
      <c r="M27" s="56">
        <v>0</v>
      </c>
      <c r="N27" s="56">
        <v>0</v>
      </c>
      <c r="O27" s="54">
        <v>0</v>
      </c>
      <c r="P27" s="55">
        <v>160</v>
      </c>
    </row>
    <row r="28" spans="2:16" x14ac:dyDescent="0.3">
      <c r="B28" s="51" t="s">
        <v>300</v>
      </c>
      <c r="C28" s="51" t="s">
        <v>9</v>
      </c>
      <c r="D28" s="53" t="s">
        <v>76</v>
      </c>
      <c r="E28" s="53" t="s">
        <v>3</v>
      </c>
      <c r="F28" s="53">
        <v>1</v>
      </c>
      <c r="G28" s="54">
        <v>4</v>
      </c>
      <c r="H28" s="54">
        <v>2</v>
      </c>
      <c r="I28" s="54">
        <v>0</v>
      </c>
      <c r="J28" s="54">
        <v>0</v>
      </c>
      <c r="K28" s="54">
        <v>4</v>
      </c>
      <c r="L28" s="55">
        <v>2</v>
      </c>
      <c r="M28" s="56">
        <v>0</v>
      </c>
      <c r="N28" s="56">
        <v>0</v>
      </c>
      <c r="O28" s="54">
        <v>0</v>
      </c>
      <c r="P28" s="55">
        <v>160</v>
      </c>
    </row>
    <row r="29" spans="2:16" x14ac:dyDescent="0.3">
      <c r="B29" s="51" t="s">
        <v>71</v>
      </c>
      <c r="C29" s="51" t="s">
        <v>9</v>
      </c>
      <c r="D29" s="53" t="s">
        <v>89</v>
      </c>
      <c r="E29" s="53" t="s">
        <v>3</v>
      </c>
      <c r="F29" s="53">
        <v>2</v>
      </c>
      <c r="G29" s="54">
        <v>8</v>
      </c>
      <c r="H29" s="54">
        <v>4</v>
      </c>
      <c r="I29" s="54">
        <v>2</v>
      </c>
      <c r="J29" s="54">
        <v>0</v>
      </c>
      <c r="K29" s="54">
        <v>6</v>
      </c>
      <c r="L29" s="55">
        <v>4</v>
      </c>
      <c r="M29" s="56">
        <v>0.25</v>
      </c>
      <c r="N29" s="56">
        <v>0</v>
      </c>
      <c r="O29" s="54">
        <v>0</v>
      </c>
      <c r="P29" s="55">
        <v>280</v>
      </c>
    </row>
    <row r="30" spans="2:16" x14ac:dyDescent="0.3">
      <c r="B30" s="51" t="s">
        <v>48</v>
      </c>
      <c r="C30" s="51" t="s">
        <v>9</v>
      </c>
      <c r="D30" s="53" t="s">
        <v>125</v>
      </c>
      <c r="E30" s="53" t="s">
        <v>3</v>
      </c>
      <c r="F30" s="53">
        <v>1</v>
      </c>
      <c r="G30" s="54">
        <v>4</v>
      </c>
      <c r="H30" s="54">
        <v>2</v>
      </c>
      <c r="I30" s="54">
        <v>0</v>
      </c>
      <c r="J30" s="54">
        <v>0</v>
      </c>
      <c r="K30" s="54">
        <v>4</v>
      </c>
      <c r="L30" s="55">
        <v>2</v>
      </c>
      <c r="M30" s="56">
        <v>0</v>
      </c>
      <c r="N30" s="56">
        <v>0</v>
      </c>
      <c r="O30" s="54">
        <v>0</v>
      </c>
      <c r="P30" s="55">
        <v>160</v>
      </c>
    </row>
    <row r="31" spans="2:16" x14ac:dyDescent="0.3">
      <c r="B31" s="51" t="s">
        <v>62</v>
      </c>
      <c r="C31" s="51" t="s">
        <v>9</v>
      </c>
      <c r="D31" s="53" t="s">
        <v>95</v>
      </c>
      <c r="E31" s="53" t="s">
        <v>3</v>
      </c>
      <c r="F31" s="53">
        <v>2</v>
      </c>
      <c r="G31" s="54">
        <v>8</v>
      </c>
      <c r="H31" s="54">
        <v>4</v>
      </c>
      <c r="I31" s="54">
        <v>4</v>
      </c>
      <c r="J31" s="54">
        <v>2</v>
      </c>
      <c r="K31" s="54">
        <v>4</v>
      </c>
      <c r="L31" s="55">
        <v>2</v>
      </c>
      <c r="M31" s="56">
        <v>0.5</v>
      </c>
      <c r="N31" s="56">
        <v>0.5</v>
      </c>
      <c r="O31" s="54">
        <v>99</v>
      </c>
      <c r="P31" s="55">
        <v>160</v>
      </c>
    </row>
    <row r="32" spans="2:16" x14ac:dyDescent="0.3">
      <c r="B32" s="51" t="s">
        <v>373</v>
      </c>
      <c r="C32" s="51" t="s">
        <v>36</v>
      </c>
      <c r="D32" s="53" t="s">
        <v>113</v>
      </c>
      <c r="E32" s="53" t="s">
        <v>3</v>
      </c>
      <c r="F32" s="53">
        <v>1</v>
      </c>
      <c r="G32" s="54">
        <v>4</v>
      </c>
      <c r="H32" s="54">
        <v>2</v>
      </c>
      <c r="I32" s="54">
        <v>0</v>
      </c>
      <c r="J32" s="54">
        <v>0</v>
      </c>
      <c r="K32" s="54">
        <v>4</v>
      </c>
      <c r="L32" s="55">
        <v>2</v>
      </c>
      <c r="M32" s="56">
        <v>0</v>
      </c>
      <c r="N32" s="56">
        <v>0</v>
      </c>
      <c r="O32" s="54">
        <v>0</v>
      </c>
      <c r="P32" s="55">
        <v>160</v>
      </c>
    </row>
    <row r="33" spans="1:16" x14ac:dyDescent="0.3">
      <c r="B33" s="51" t="s">
        <v>237</v>
      </c>
      <c r="C33" s="51" t="s">
        <v>6</v>
      </c>
      <c r="D33" s="53" t="s">
        <v>61</v>
      </c>
      <c r="E33" s="53" t="s">
        <v>3</v>
      </c>
      <c r="F33" s="53">
        <v>1</v>
      </c>
      <c r="G33" s="54">
        <v>4</v>
      </c>
      <c r="H33" s="54">
        <v>2</v>
      </c>
      <c r="I33" s="54">
        <v>4</v>
      </c>
      <c r="J33" s="54">
        <v>2</v>
      </c>
      <c r="K33" s="54">
        <v>0</v>
      </c>
      <c r="L33" s="55">
        <v>0</v>
      </c>
      <c r="M33" s="56">
        <v>1</v>
      </c>
      <c r="N33" s="56">
        <v>1</v>
      </c>
      <c r="O33" s="54">
        <v>120</v>
      </c>
      <c r="P33" s="55">
        <v>0</v>
      </c>
    </row>
    <row r="34" spans="1:16" x14ac:dyDescent="0.3">
      <c r="B34" s="51" t="s">
        <v>404</v>
      </c>
      <c r="C34" s="51" t="s">
        <v>6</v>
      </c>
      <c r="D34" s="53" t="s">
        <v>442</v>
      </c>
      <c r="E34" s="53" t="s">
        <v>17</v>
      </c>
      <c r="F34" s="53">
        <v>1</v>
      </c>
      <c r="G34" s="54">
        <v>6</v>
      </c>
      <c r="H34" s="54">
        <v>6</v>
      </c>
      <c r="I34" s="54">
        <v>1</v>
      </c>
      <c r="J34" s="54">
        <v>0</v>
      </c>
      <c r="K34" s="54">
        <v>5</v>
      </c>
      <c r="L34" s="55">
        <v>6</v>
      </c>
      <c r="M34" s="56">
        <v>0.16666666666666666</v>
      </c>
      <c r="N34" s="56">
        <v>0</v>
      </c>
      <c r="O34" s="54">
        <v>0</v>
      </c>
      <c r="P34" s="55">
        <v>340</v>
      </c>
    </row>
    <row r="35" spans="1:16" x14ac:dyDescent="0.3">
      <c r="B35" s="51" t="s">
        <v>90</v>
      </c>
      <c r="C35" s="51" t="s">
        <v>2</v>
      </c>
      <c r="D35" s="53" t="s">
        <v>87</v>
      </c>
      <c r="E35" s="53" t="s">
        <v>17</v>
      </c>
      <c r="F35" s="53">
        <v>1</v>
      </c>
      <c r="G35" s="54">
        <v>6</v>
      </c>
      <c r="H35" s="54">
        <v>6</v>
      </c>
      <c r="I35" s="54">
        <v>3</v>
      </c>
      <c r="J35" s="54">
        <v>3</v>
      </c>
      <c r="K35" s="54">
        <v>3</v>
      </c>
      <c r="L35" s="55">
        <v>3</v>
      </c>
      <c r="M35" s="56">
        <v>0.5</v>
      </c>
      <c r="N35" s="56">
        <v>0.5</v>
      </c>
      <c r="O35" s="54">
        <v>180</v>
      </c>
      <c r="P35" s="55">
        <v>180</v>
      </c>
    </row>
    <row r="36" spans="1:16" x14ac:dyDescent="0.3">
      <c r="A36" s="58"/>
      <c r="B36" s="51" t="s">
        <v>88</v>
      </c>
      <c r="C36" s="51" t="s">
        <v>2</v>
      </c>
      <c r="D36" s="53" t="s">
        <v>129</v>
      </c>
      <c r="E36" s="53" t="s">
        <v>17</v>
      </c>
      <c r="F36" s="53">
        <v>1</v>
      </c>
      <c r="G36" s="54">
        <v>6</v>
      </c>
      <c r="H36" s="54">
        <v>6</v>
      </c>
      <c r="I36" s="54">
        <v>0</v>
      </c>
      <c r="J36" s="54">
        <v>0</v>
      </c>
      <c r="K36" s="54">
        <v>6</v>
      </c>
      <c r="L36" s="55">
        <v>6</v>
      </c>
      <c r="M36" s="56">
        <v>0</v>
      </c>
      <c r="N36" s="56">
        <v>0</v>
      </c>
      <c r="O36" s="54">
        <v>0</v>
      </c>
      <c r="P36" s="55">
        <v>360</v>
      </c>
    </row>
    <row r="37" spans="1:16" x14ac:dyDescent="0.3">
      <c r="B37" s="51" t="s">
        <v>251</v>
      </c>
      <c r="C37" s="51" t="s">
        <v>2</v>
      </c>
      <c r="D37" s="53" t="s">
        <v>115</v>
      </c>
      <c r="E37" s="53" t="s">
        <v>3</v>
      </c>
      <c r="F37" s="53">
        <v>2</v>
      </c>
      <c r="G37" s="54">
        <v>8</v>
      </c>
      <c r="H37" s="54">
        <v>4</v>
      </c>
      <c r="I37" s="54">
        <v>0</v>
      </c>
      <c r="J37" s="54">
        <v>0</v>
      </c>
      <c r="K37" s="54">
        <v>8</v>
      </c>
      <c r="L37" s="55">
        <v>4</v>
      </c>
      <c r="M37" s="56">
        <v>0</v>
      </c>
      <c r="N37" s="56">
        <v>0</v>
      </c>
      <c r="O37" s="54">
        <v>0</v>
      </c>
      <c r="P37" s="55">
        <v>320</v>
      </c>
    </row>
    <row r="38" spans="1:16" x14ac:dyDescent="0.3">
      <c r="B38" s="51" t="s">
        <v>401</v>
      </c>
      <c r="C38" s="51" t="s">
        <v>534</v>
      </c>
      <c r="D38" s="53" t="s">
        <v>443</v>
      </c>
      <c r="E38" s="53" t="s">
        <v>3</v>
      </c>
      <c r="F38" s="53">
        <v>1</v>
      </c>
      <c r="G38" s="54">
        <v>4</v>
      </c>
      <c r="H38" s="54">
        <v>2</v>
      </c>
      <c r="I38" s="54">
        <v>0</v>
      </c>
      <c r="J38" s="54">
        <v>0</v>
      </c>
      <c r="K38" s="54">
        <v>4</v>
      </c>
      <c r="L38" s="55">
        <v>2</v>
      </c>
      <c r="M38" s="56">
        <v>0</v>
      </c>
      <c r="N38" s="56">
        <v>0</v>
      </c>
      <c r="O38" s="54">
        <v>0</v>
      </c>
      <c r="P38" s="55">
        <v>160</v>
      </c>
    </row>
    <row r="39" spans="1:16" x14ac:dyDescent="0.3">
      <c r="B39" s="51" t="s">
        <v>289</v>
      </c>
      <c r="C39" s="51" t="s">
        <v>133</v>
      </c>
      <c r="D39" s="53" t="s">
        <v>47</v>
      </c>
      <c r="E39" s="53" t="s">
        <v>3</v>
      </c>
      <c r="F39" s="53">
        <v>1</v>
      </c>
      <c r="G39" s="54">
        <v>4</v>
      </c>
      <c r="H39" s="54">
        <v>2</v>
      </c>
      <c r="I39" s="54">
        <v>0</v>
      </c>
      <c r="J39" s="54">
        <v>0</v>
      </c>
      <c r="K39" s="54">
        <v>4</v>
      </c>
      <c r="L39" s="55">
        <v>2</v>
      </c>
      <c r="M39" s="56">
        <v>0</v>
      </c>
      <c r="N39" s="56">
        <v>0</v>
      </c>
      <c r="O39" s="54">
        <v>0</v>
      </c>
      <c r="P39" s="55">
        <v>160</v>
      </c>
    </row>
    <row r="40" spans="1:16" x14ac:dyDescent="0.3">
      <c r="B40" s="51" t="s">
        <v>184</v>
      </c>
      <c r="C40" s="51" t="s">
        <v>133</v>
      </c>
      <c r="D40" s="53" t="s">
        <v>43</v>
      </c>
      <c r="E40" s="53" t="s">
        <v>17</v>
      </c>
      <c r="F40" s="53">
        <v>2</v>
      </c>
      <c r="G40" s="54">
        <v>12</v>
      </c>
      <c r="H40" s="54">
        <v>12</v>
      </c>
      <c r="I40" s="54">
        <v>2</v>
      </c>
      <c r="J40" s="54">
        <v>2</v>
      </c>
      <c r="K40" s="54">
        <v>10</v>
      </c>
      <c r="L40" s="55">
        <v>10</v>
      </c>
      <c r="M40" s="56">
        <v>0.16666666666666666</v>
      </c>
      <c r="N40" s="56">
        <v>0.16666666666666666</v>
      </c>
      <c r="O40" s="54">
        <v>82</v>
      </c>
      <c r="P40" s="55">
        <v>600</v>
      </c>
    </row>
    <row r="41" spans="1:16" x14ac:dyDescent="0.3">
      <c r="B41" s="51" t="s">
        <v>281</v>
      </c>
      <c r="C41" s="51" t="s">
        <v>133</v>
      </c>
      <c r="D41" s="53" t="s">
        <v>127</v>
      </c>
      <c r="E41" s="53" t="s">
        <v>3</v>
      </c>
      <c r="F41" s="53">
        <v>1</v>
      </c>
      <c r="G41" s="54">
        <v>4</v>
      </c>
      <c r="H41" s="54">
        <v>2</v>
      </c>
      <c r="I41" s="54">
        <v>0</v>
      </c>
      <c r="J41" s="54">
        <v>0</v>
      </c>
      <c r="K41" s="54">
        <v>4</v>
      </c>
      <c r="L41" s="55">
        <v>2</v>
      </c>
      <c r="M41" s="56">
        <v>0</v>
      </c>
      <c r="N41" s="56">
        <v>0</v>
      </c>
      <c r="O41" s="54">
        <v>0</v>
      </c>
      <c r="P41" s="55">
        <v>160</v>
      </c>
    </row>
    <row r="42" spans="1:16" x14ac:dyDescent="0.3">
      <c r="B42" s="51" t="s">
        <v>102</v>
      </c>
      <c r="C42" s="51" t="s">
        <v>70</v>
      </c>
      <c r="D42" s="53" t="s">
        <v>109</v>
      </c>
      <c r="E42" s="53" t="s">
        <v>3</v>
      </c>
      <c r="F42" s="53">
        <v>1</v>
      </c>
      <c r="G42" s="54">
        <v>4</v>
      </c>
      <c r="H42" s="54">
        <v>2</v>
      </c>
      <c r="I42" s="54">
        <v>0</v>
      </c>
      <c r="J42" s="54">
        <v>0</v>
      </c>
      <c r="K42" s="54">
        <v>4</v>
      </c>
      <c r="L42" s="55">
        <v>2</v>
      </c>
      <c r="M42" s="56">
        <v>0</v>
      </c>
      <c r="N42" s="56">
        <v>0</v>
      </c>
      <c r="O42" s="54">
        <v>0</v>
      </c>
      <c r="P42" s="55">
        <v>160</v>
      </c>
    </row>
    <row r="43" spans="1:16" x14ac:dyDescent="0.3">
      <c r="B43" s="51" t="s">
        <v>271</v>
      </c>
      <c r="C43" s="51" t="s">
        <v>9</v>
      </c>
      <c r="D43" s="53" t="s">
        <v>135</v>
      </c>
      <c r="E43" s="53" t="s">
        <v>3</v>
      </c>
      <c r="F43" s="53">
        <v>1</v>
      </c>
      <c r="G43" s="54">
        <v>4</v>
      </c>
      <c r="H43" s="54">
        <v>2</v>
      </c>
      <c r="I43" s="54">
        <v>1</v>
      </c>
      <c r="J43" s="54">
        <v>0</v>
      </c>
      <c r="K43" s="54">
        <v>3</v>
      </c>
      <c r="L43" s="55">
        <v>2</v>
      </c>
      <c r="M43" s="56">
        <v>0.25</v>
      </c>
      <c r="N43" s="56">
        <v>0</v>
      </c>
      <c r="O43" s="54">
        <v>0</v>
      </c>
      <c r="P43" s="55">
        <v>140</v>
      </c>
    </row>
    <row r="44" spans="1:16" x14ac:dyDescent="0.3">
      <c r="B44" s="51" t="s">
        <v>215</v>
      </c>
      <c r="C44" s="51" t="s">
        <v>86</v>
      </c>
      <c r="D44" s="53" t="s">
        <v>117</v>
      </c>
      <c r="E44" s="53" t="s">
        <v>3</v>
      </c>
      <c r="F44" s="53">
        <v>1</v>
      </c>
      <c r="G44" s="54">
        <v>4</v>
      </c>
      <c r="H44" s="54">
        <v>2</v>
      </c>
      <c r="I44" s="54">
        <v>0</v>
      </c>
      <c r="J44" s="54">
        <v>0</v>
      </c>
      <c r="K44" s="54">
        <v>4</v>
      </c>
      <c r="L44" s="55">
        <v>2</v>
      </c>
      <c r="M44" s="56">
        <v>0</v>
      </c>
      <c r="N44" s="56">
        <v>0</v>
      </c>
      <c r="O44" s="54">
        <v>0</v>
      </c>
      <c r="P44" s="55">
        <v>160</v>
      </c>
    </row>
    <row r="45" spans="1:16" x14ac:dyDescent="0.3">
      <c r="B45" s="51" t="s">
        <v>178</v>
      </c>
      <c r="C45" s="51" t="s">
        <v>170</v>
      </c>
      <c r="D45" s="53" t="s">
        <v>82</v>
      </c>
      <c r="E45" s="53" t="s">
        <v>3</v>
      </c>
      <c r="F45" s="53">
        <v>1</v>
      </c>
      <c r="G45" s="54">
        <v>4</v>
      </c>
      <c r="H45" s="54">
        <v>2</v>
      </c>
      <c r="I45" s="54">
        <v>0</v>
      </c>
      <c r="J45" s="54">
        <v>0</v>
      </c>
      <c r="K45" s="54">
        <v>4</v>
      </c>
      <c r="L45" s="55">
        <v>2</v>
      </c>
      <c r="M45" s="56">
        <v>0</v>
      </c>
      <c r="N45" s="56">
        <v>0</v>
      </c>
      <c r="O45" s="54">
        <v>0</v>
      </c>
      <c r="P45" s="55">
        <v>160</v>
      </c>
    </row>
    <row r="46" spans="1:16" x14ac:dyDescent="0.3">
      <c r="B46" s="51" t="s">
        <v>155</v>
      </c>
      <c r="C46" s="51" t="s">
        <v>6</v>
      </c>
      <c r="D46" s="53" t="s">
        <v>57</v>
      </c>
      <c r="E46" s="53" t="s">
        <v>3</v>
      </c>
      <c r="F46" s="53">
        <v>1</v>
      </c>
      <c r="G46" s="54">
        <v>4</v>
      </c>
      <c r="H46" s="54">
        <v>2</v>
      </c>
      <c r="I46" s="54">
        <v>4</v>
      </c>
      <c r="J46" s="54">
        <v>2</v>
      </c>
      <c r="K46" s="54">
        <v>0</v>
      </c>
      <c r="L46" s="55">
        <v>0</v>
      </c>
      <c r="M46" s="56">
        <v>1</v>
      </c>
      <c r="N46" s="56">
        <v>1</v>
      </c>
      <c r="O46" s="54">
        <v>140</v>
      </c>
      <c r="P46" s="55">
        <v>0</v>
      </c>
    </row>
    <row r="47" spans="1:16" x14ac:dyDescent="0.3">
      <c r="B47" s="51" t="s">
        <v>149</v>
      </c>
      <c r="C47" s="51" t="s">
        <v>9</v>
      </c>
      <c r="D47" s="53" t="s">
        <v>49</v>
      </c>
      <c r="E47" s="53" t="s">
        <v>3</v>
      </c>
      <c r="F47" s="53">
        <v>2</v>
      </c>
      <c r="G47" s="54">
        <v>8</v>
      </c>
      <c r="H47" s="54">
        <v>4</v>
      </c>
      <c r="I47" s="54">
        <v>2</v>
      </c>
      <c r="J47" s="54">
        <v>0</v>
      </c>
      <c r="K47" s="54">
        <v>6</v>
      </c>
      <c r="L47" s="55">
        <v>4</v>
      </c>
      <c r="M47" s="56">
        <v>0.25</v>
      </c>
      <c r="N47" s="56">
        <v>0</v>
      </c>
      <c r="O47" s="54">
        <v>0</v>
      </c>
      <c r="P47" s="55">
        <v>280</v>
      </c>
    </row>
    <row r="48" spans="1:16" x14ac:dyDescent="0.3">
      <c r="B48" s="51" t="s">
        <v>52</v>
      </c>
      <c r="C48" s="51" t="s">
        <v>6</v>
      </c>
      <c r="D48" s="53" t="s">
        <v>99</v>
      </c>
      <c r="E48" s="53" t="s">
        <v>3</v>
      </c>
      <c r="F48" s="53">
        <v>1</v>
      </c>
      <c r="G48" s="54">
        <v>4</v>
      </c>
      <c r="H48" s="54">
        <v>2</v>
      </c>
      <c r="I48" s="54">
        <v>4</v>
      </c>
      <c r="J48" s="54">
        <v>2</v>
      </c>
      <c r="K48" s="54">
        <v>0</v>
      </c>
      <c r="L48" s="55">
        <v>0</v>
      </c>
      <c r="M48" s="56">
        <v>1</v>
      </c>
      <c r="N48" s="56">
        <v>1</v>
      </c>
      <c r="O48" s="54">
        <v>148</v>
      </c>
      <c r="P48" s="55">
        <v>0</v>
      </c>
    </row>
    <row r="49" spans="2:16" x14ac:dyDescent="0.3">
      <c r="B49" s="51" t="s">
        <v>377</v>
      </c>
      <c r="C49" s="51" t="s">
        <v>6</v>
      </c>
      <c r="D49" s="53" t="s">
        <v>444</v>
      </c>
      <c r="E49" s="53" t="s">
        <v>17</v>
      </c>
      <c r="F49" s="53">
        <v>1</v>
      </c>
      <c r="G49" s="54">
        <v>6</v>
      </c>
      <c r="H49" s="54">
        <v>6</v>
      </c>
      <c r="I49" s="54">
        <v>6</v>
      </c>
      <c r="J49" s="54">
        <v>6</v>
      </c>
      <c r="K49" s="54">
        <v>0</v>
      </c>
      <c r="L49" s="55">
        <v>0</v>
      </c>
      <c r="M49" s="56">
        <v>1</v>
      </c>
      <c r="N49" s="56">
        <v>1</v>
      </c>
      <c r="O49" s="54">
        <v>360</v>
      </c>
      <c r="P49" s="55">
        <v>0</v>
      </c>
    </row>
    <row r="50" spans="2:16" x14ac:dyDescent="0.3">
      <c r="B50" s="51" t="s">
        <v>124</v>
      </c>
      <c r="C50" s="51" t="s">
        <v>6</v>
      </c>
      <c r="D50" s="53" t="s">
        <v>101</v>
      </c>
      <c r="E50" s="53" t="s">
        <v>3</v>
      </c>
      <c r="F50" s="53">
        <v>1</v>
      </c>
      <c r="G50" s="54">
        <v>4</v>
      </c>
      <c r="H50" s="54">
        <v>2</v>
      </c>
      <c r="I50" s="54">
        <v>0</v>
      </c>
      <c r="J50" s="54">
        <v>0</v>
      </c>
      <c r="K50" s="54">
        <v>4</v>
      </c>
      <c r="L50" s="55">
        <v>2</v>
      </c>
      <c r="M50" s="56">
        <v>0</v>
      </c>
      <c r="N50" s="56">
        <v>0</v>
      </c>
      <c r="O50" s="54">
        <v>0</v>
      </c>
      <c r="P50" s="55">
        <v>160</v>
      </c>
    </row>
    <row r="51" spans="2:16" x14ac:dyDescent="0.3">
      <c r="B51" s="51" t="s">
        <v>106</v>
      </c>
      <c r="C51" s="51" t="s">
        <v>13</v>
      </c>
      <c r="D51" s="53" t="s">
        <v>137</v>
      </c>
      <c r="E51" s="53" t="s">
        <v>3</v>
      </c>
      <c r="F51" s="53">
        <v>2</v>
      </c>
      <c r="G51" s="54">
        <v>8</v>
      </c>
      <c r="H51" s="54">
        <v>4</v>
      </c>
      <c r="I51" s="54">
        <v>0</v>
      </c>
      <c r="J51" s="54">
        <v>0</v>
      </c>
      <c r="K51" s="54">
        <v>8</v>
      </c>
      <c r="L51" s="55">
        <v>4</v>
      </c>
      <c r="M51" s="56">
        <v>0</v>
      </c>
      <c r="N51" s="56">
        <v>0</v>
      </c>
      <c r="O51" s="54">
        <v>0</v>
      </c>
      <c r="P51" s="55">
        <v>320</v>
      </c>
    </row>
    <row r="52" spans="2:16" x14ac:dyDescent="0.3">
      <c r="B52" s="51" t="s">
        <v>12</v>
      </c>
      <c r="C52" s="51" t="s">
        <v>13</v>
      </c>
      <c r="D52" s="53" t="s">
        <v>72</v>
      </c>
      <c r="E52" s="53" t="s">
        <v>3</v>
      </c>
      <c r="F52" s="53">
        <v>1</v>
      </c>
      <c r="G52" s="54">
        <v>4</v>
      </c>
      <c r="H52" s="54">
        <v>2</v>
      </c>
      <c r="I52" s="54">
        <v>3</v>
      </c>
      <c r="J52" s="54">
        <v>2</v>
      </c>
      <c r="K52" s="54">
        <v>1</v>
      </c>
      <c r="L52" s="55">
        <v>0</v>
      </c>
      <c r="M52" s="56">
        <v>0.75</v>
      </c>
      <c r="N52" s="56">
        <v>1</v>
      </c>
      <c r="O52" s="54">
        <v>82</v>
      </c>
      <c r="P52" s="55">
        <v>20</v>
      </c>
    </row>
    <row r="53" spans="2:16" x14ac:dyDescent="0.3">
      <c r="B53" s="51" t="s">
        <v>79</v>
      </c>
      <c r="C53" s="51" t="s">
        <v>6</v>
      </c>
      <c r="D53" s="53" t="s">
        <v>97</v>
      </c>
      <c r="E53" s="53" t="s">
        <v>10</v>
      </c>
      <c r="F53" s="53">
        <v>2</v>
      </c>
      <c r="G53" s="54">
        <v>16</v>
      </c>
      <c r="H53" s="54">
        <v>16</v>
      </c>
      <c r="I53" s="54">
        <v>13</v>
      </c>
      <c r="J53" s="54">
        <v>12</v>
      </c>
      <c r="K53" s="54">
        <v>3</v>
      </c>
      <c r="L53" s="55">
        <v>4</v>
      </c>
      <c r="M53" s="56">
        <v>0.8125</v>
      </c>
      <c r="N53" s="56">
        <v>0.75</v>
      </c>
      <c r="O53" s="54">
        <v>720</v>
      </c>
      <c r="P53" s="55">
        <v>220</v>
      </c>
    </row>
    <row r="54" spans="2:16" x14ac:dyDescent="0.3">
      <c r="B54" s="51" t="s">
        <v>269</v>
      </c>
      <c r="C54" s="51" t="s">
        <v>133</v>
      </c>
      <c r="D54" s="53" t="s">
        <v>80</v>
      </c>
      <c r="E54" s="53" t="s">
        <v>3</v>
      </c>
      <c r="F54" s="53">
        <v>1</v>
      </c>
      <c r="G54" s="54">
        <v>4</v>
      </c>
      <c r="H54" s="54">
        <v>2</v>
      </c>
      <c r="I54" s="54">
        <v>0</v>
      </c>
      <c r="J54" s="54">
        <v>0</v>
      </c>
      <c r="K54" s="54">
        <v>4</v>
      </c>
      <c r="L54" s="55">
        <v>2</v>
      </c>
      <c r="M54" s="56">
        <v>0</v>
      </c>
      <c r="N54" s="56">
        <v>0</v>
      </c>
      <c r="O54" s="54">
        <v>0</v>
      </c>
      <c r="P54" s="55">
        <v>160</v>
      </c>
    </row>
    <row r="55" spans="2:16" x14ac:dyDescent="0.3">
      <c r="B55" s="51" t="s">
        <v>235</v>
      </c>
      <c r="C55" s="51" t="s">
        <v>133</v>
      </c>
      <c r="D55" s="53" t="s">
        <v>55</v>
      </c>
      <c r="E55" s="53" t="s">
        <v>10</v>
      </c>
      <c r="F55" s="53">
        <v>3</v>
      </c>
      <c r="G55" s="54">
        <v>24</v>
      </c>
      <c r="H55" s="54">
        <v>24</v>
      </c>
      <c r="I55" s="54">
        <v>9</v>
      </c>
      <c r="J55" s="54">
        <v>5</v>
      </c>
      <c r="K55" s="54">
        <v>15</v>
      </c>
      <c r="L55" s="55">
        <v>19</v>
      </c>
      <c r="M55" s="56">
        <v>0.375</v>
      </c>
      <c r="N55" s="56">
        <v>0.20833333333333334</v>
      </c>
      <c r="O55" s="54">
        <v>340</v>
      </c>
      <c r="P55" s="55">
        <v>1060</v>
      </c>
    </row>
    <row r="56" spans="2:16" x14ac:dyDescent="0.3">
      <c r="B56" s="51" t="s">
        <v>18</v>
      </c>
      <c r="C56" s="51" t="s">
        <v>13</v>
      </c>
      <c r="D56" s="53" t="s">
        <v>142</v>
      </c>
      <c r="E56" s="53" t="s">
        <v>10</v>
      </c>
      <c r="F56" s="53">
        <v>1</v>
      </c>
      <c r="G56" s="54">
        <v>8</v>
      </c>
      <c r="H56" s="54">
        <v>8</v>
      </c>
      <c r="I56" s="54">
        <v>0</v>
      </c>
      <c r="J56" s="54">
        <v>0</v>
      </c>
      <c r="K56" s="54">
        <v>8</v>
      </c>
      <c r="L56" s="55">
        <v>8</v>
      </c>
      <c r="M56" s="56">
        <v>0</v>
      </c>
      <c r="N56" s="56">
        <v>0</v>
      </c>
      <c r="O56" s="54">
        <v>0</v>
      </c>
      <c r="P56" s="55">
        <v>480</v>
      </c>
    </row>
    <row r="57" spans="2:16" x14ac:dyDescent="0.3">
      <c r="B57" s="51" t="s">
        <v>38</v>
      </c>
      <c r="C57" s="51" t="s">
        <v>13</v>
      </c>
      <c r="D57" s="53" t="s">
        <v>119</v>
      </c>
      <c r="E57" s="53" t="s">
        <v>10</v>
      </c>
      <c r="F57" s="53">
        <v>2</v>
      </c>
      <c r="G57" s="54">
        <v>16</v>
      </c>
      <c r="H57" s="54">
        <v>16</v>
      </c>
      <c r="I57" s="54">
        <v>10</v>
      </c>
      <c r="J57" s="54">
        <v>4</v>
      </c>
      <c r="K57" s="54">
        <v>6</v>
      </c>
      <c r="L57" s="55">
        <v>12</v>
      </c>
      <c r="M57" s="56">
        <v>0.625</v>
      </c>
      <c r="N57" s="56">
        <v>0.25</v>
      </c>
      <c r="O57" s="54">
        <v>200</v>
      </c>
      <c r="P57" s="55">
        <v>600</v>
      </c>
    </row>
    <row r="58" spans="2:16" x14ac:dyDescent="0.3">
      <c r="B58" s="51" t="s">
        <v>306</v>
      </c>
      <c r="C58" s="51" t="s">
        <v>13</v>
      </c>
      <c r="D58" s="53" t="s">
        <v>37</v>
      </c>
      <c r="E58" s="53" t="s">
        <v>3</v>
      </c>
      <c r="F58" s="53">
        <v>1</v>
      </c>
      <c r="G58" s="54">
        <v>4</v>
      </c>
      <c r="H58" s="54">
        <v>2</v>
      </c>
      <c r="I58" s="54">
        <v>0</v>
      </c>
      <c r="J58" s="54">
        <v>0</v>
      </c>
      <c r="K58" s="54">
        <v>4</v>
      </c>
      <c r="L58" s="55">
        <v>2</v>
      </c>
      <c r="M58" s="56">
        <v>0</v>
      </c>
      <c r="N58" s="56">
        <v>0</v>
      </c>
      <c r="O58" s="54">
        <v>0</v>
      </c>
      <c r="P58" s="55">
        <v>160</v>
      </c>
    </row>
    <row r="59" spans="2:16" x14ac:dyDescent="0.3">
      <c r="B59" s="51" t="s">
        <v>176</v>
      </c>
      <c r="C59" s="51" t="s">
        <v>13</v>
      </c>
      <c r="D59" s="53" t="s">
        <v>65</v>
      </c>
      <c r="E59" s="53" t="s">
        <v>3</v>
      </c>
      <c r="F59" s="53">
        <v>2</v>
      </c>
      <c r="G59" s="54">
        <v>8</v>
      </c>
      <c r="H59" s="54">
        <v>4</v>
      </c>
      <c r="I59" s="54">
        <v>0</v>
      </c>
      <c r="J59" s="54">
        <v>0</v>
      </c>
      <c r="K59" s="54">
        <v>8</v>
      </c>
      <c r="L59" s="55">
        <v>4</v>
      </c>
      <c r="M59" s="56">
        <v>0</v>
      </c>
      <c r="N59" s="56">
        <v>0</v>
      </c>
      <c r="O59" s="54">
        <v>0</v>
      </c>
      <c r="P59" s="55">
        <v>320</v>
      </c>
    </row>
    <row r="60" spans="2:16" x14ac:dyDescent="0.3">
      <c r="B60" s="51" t="s">
        <v>365</v>
      </c>
      <c r="C60" s="51" t="s">
        <v>13</v>
      </c>
      <c r="D60" s="53" t="s">
        <v>68</v>
      </c>
      <c r="E60" s="53" t="s">
        <v>3</v>
      </c>
      <c r="F60" s="53">
        <v>1</v>
      </c>
      <c r="G60" s="54">
        <v>4</v>
      </c>
      <c r="H60" s="54">
        <v>2</v>
      </c>
      <c r="I60" s="54">
        <v>0</v>
      </c>
      <c r="J60" s="54">
        <v>0</v>
      </c>
      <c r="K60" s="54">
        <v>4</v>
      </c>
      <c r="L60" s="55">
        <v>2</v>
      </c>
      <c r="M60" s="56">
        <v>0</v>
      </c>
      <c r="N60" s="56">
        <v>0</v>
      </c>
      <c r="O60" s="54">
        <v>0</v>
      </c>
      <c r="P60" s="55">
        <v>160</v>
      </c>
    </row>
    <row r="61" spans="2:16" x14ac:dyDescent="0.3">
      <c r="B61" s="51" t="s">
        <v>122</v>
      </c>
      <c r="C61" s="51" t="s">
        <v>13</v>
      </c>
      <c r="D61" s="53" t="s">
        <v>45</v>
      </c>
      <c r="E61" s="53" t="s">
        <v>3</v>
      </c>
      <c r="F61" s="53">
        <v>1</v>
      </c>
      <c r="G61" s="54">
        <v>4</v>
      </c>
      <c r="H61" s="54">
        <v>2</v>
      </c>
      <c r="I61" s="54">
        <v>0</v>
      </c>
      <c r="J61" s="54">
        <v>0</v>
      </c>
      <c r="K61" s="54">
        <v>4</v>
      </c>
      <c r="L61" s="55">
        <v>2</v>
      </c>
      <c r="M61" s="56">
        <v>0</v>
      </c>
      <c r="N61" s="56">
        <v>0</v>
      </c>
      <c r="O61" s="54">
        <v>0</v>
      </c>
      <c r="P61" s="55">
        <v>160</v>
      </c>
    </row>
    <row r="62" spans="2:16" x14ac:dyDescent="0.3">
      <c r="B62" s="51" t="s">
        <v>395</v>
      </c>
      <c r="C62" s="51" t="s">
        <v>13</v>
      </c>
      <c r="D62" s="53" t="s">
        <v>445</v>
      </c>
      <c r="E62" s="53" t="s">
        <v>3</v>
      </c>
      <c r="F62" s="53">
        <v>1</v>
      </c>
      <c r="G62" s="54">
        <v>4</v>
      </c>
      <c r="H62" s="54">
        <v>2</v>
      </c>
      <c r="I62" s="54">
        <v>0</v>
      </c>
      <c r="J62" s="54">
        <v>0</v>
      </c>
      <c r="K62" s="54">
        <v>4</v>
      </c>
      <c r="L62" s="55">
        <v>2</v>
      </c>
      <c r="M62" s="56">
        <v>0</v>
      </c>
      <c r="N62" s="56">
        <v>0</v>
      </c>
      <c r="O62" s="54">
        <v>0</v>
      </c>
      <c r="P62" s="55">
        <v>160</v>
      </c>
    </row>
    <row r="63" spans="2:16" x14ac:dyDescent="0.3">
      <c r="B63" s="51" t="s">
        <v>145</v>
      </c>
      <c r="C63" s="51" t="s">
        <v>13</v>
      </c>
      <c r="D63" s="53" t="s">
        <v>74</v>
      </c>
      <c r="E63" s="53" t="s">
        <v>3</v>
      </c>
      <c r="F63" s="53">
        <v>2</v>
      </c>
      <c r="G63" s="54">
        <v>8</v>
      </c>
      <c r="H63" s="54">
        <v>4</v>
      </c>
      <c r="I63" s="54">
        <v>2</v>
      </c>
      <c r="J63" s="54">
        <v>0</v>
      </c>
      <c r="K63" s="54">
        <v>6</v>
      </c>
      <c r="L63" s="55">
        <v>4</v>
      </c>
      <c r="M63" s="56">
        <v>0.25</v>
      </c>
      <c r="N63" s="56">
        <v>0</v>
      </c>
      <c r="O63" s="54">
        <v>0</v>
      </c>
      <c r="P63" s="55">
        <v>280</v>
      </c>
    </row>
    <row r="64" spans="2:16" x14ac:dyDescent="0.3">
      <c r="B64" s="51" t="s">
        <v>273</v>
      </c>
      <c r="C64" s="51" t="s">
        <v>42</v>
      </c>
      <c r="D64" s="53" t="s">
        <v>131</v>
      </c>
      <c r="E64" s="53" t="s">
        <v>3</v>
      </c>
      <c r="F64" s="53">
        <v>1</v>
      </c>
      <c r="G64" s="54">
        <v>4</v>
      </c>
      <c r="H64" s="54">
        <v>2</v>
      </c>
      <c r="I64" s="54">
        <v>0</v>
      </c>
      <c r="J64" s="54">
        <v>0</v>
      </c>
      <c r="K64" s="54">
        <v>4</v>
      </c>
      <c r="L64" s="55">
        <v>2</v>
      </c>
      <c r="M64" s="56">
        <v>0</v>
      </c>
      <c r="N64" s="56">
        <v>0</v>
      </c>
      <c r="O64" s="54">
        <v>0</v>
      </c>
      <c r="P64" s="55">
        <v>160</v>
      </c>
    </row>
    <row r="65" spans="2:16" x14ac:dyDescent="0.3">
      <c r="B65" s="51" t="s">
        <v>400</v>
      </c>
      <c r="C65" s="51" t="s">
        <v>42</v>
      </c>
      <c r="D65" s="53" t="s">
        <v>446</v>
      </c>
      <c r="E65" s="53" t="s">
        <v>3</v>
      </c>
      <c r="F65" s="53">
        <v>1</v>
      </c>
      <c r="G65" s="54">
        <v>4</v>
      </c>
      <c r="H65" s="54">
        <v>2</v>
      </c>
      <c r="I65" s="54">
        <v>0</v>
      </c>
      <c r="J65" s="54">
        <v>0</v>
      </c>
      <c r="K65" s="54">
        <v>4</v>
      </c>
      <c r="L65" s="55">
        <v>2</v>
      </c>
      <c r="M65" s="56">
        <v>0</v>
      </c>
      <c r="N65" s="56">
        <v>0</v>
      </c>
      <c r="O65" s="54">
        <v>0</v>
      </c>
      <c r="P65" s="55">
        <v>160</v>
      </c>
    </row>
    <row r="66" spans="2:16" x14ac:dyDescent="0.3">
      <c r="B66" s="51" t="s">
        <v>379</v>
      </c>
      <c r="C66" s="51" t="s">
        <v>9</v>
      </c>
      <c r="D66" s="53" t="s">
        <v>447</v>
      </c>
      <c r="E66" s="53" t="s">
        <v>3</v>
      </c>
      <c r="F66" s="53">
        <v>1</v>
      </c>
      <c r="G66" s="54">
        <v>4</v>
      </c>
      <c r="H66" s="54">
        <v>2</v>
      </c>
      <c r="I66" s="54">
        <v>0</v>
      </c>
      <c r="J66" s="54">
        <v>0</v>
      </c>
      <c r="K66" s="54">
        <v>4</v>
      </c>
      <c r="L66" s="55">
        <v>2</v>
      </c>
      <c r="M66" s="56">
        <v>0</v>
      </c>
      <c r="N66" s="56">
        <v>0</v>
      </c>
      <c r="O66" s="54">
        <v>0</v>
      </c>
      <c r="P66" s="55">
        <v>160</v>
      </c>
    </row>
    <row r="67" spans="2:16" x14ac:dyDescent="0.3">
      <c r="B67" s="51" t="s">
        <v>104</v>
      </c>
      <c r="C67" s="51" t="s">
        <v>36</v>
      </c>
      <c r="D67" s="53" t="s">
        <v>59</v>
      </c>
      <c r="E67" s="53" t="s">
        <v>3</v>
      </c>
      <c r="F67" s="53">
        <v>2</v>
      </c>
      <c r="G67" s="54">
        <v>8</v>
      </c>
      <c r="H67" s="54">
        <v>4</v>
      </c>
      <c r="I67" s="54">
        <v>1</v>
      </c>
      <c r="J67" s="54">
        <v>0</v>
      </c>
      <c r="K67" s="54">
        <v>7</v>
      </c>
      <c r="L67" s="55">
        <v>4</v>
      </c>
      <c r="M67" s="56">
        <v>0.125</v>
      </c>
      <c r="N67" s="56">
        <v>0</v>
      </c>
      <c r="O67" s="54">
        <v>0</v>
      </c>
      <c r="P67" s="55">
        <v>300</v>
      </c>
    </row>
    <row r="68" spans="2:16" x14ac:dyDescent="0.3">
      <c r="B68" s="51" t="s">
        <v>369</v>
      </c>
      <c r="C68" s="51" t="s">
        <v>36</v>
      </c>
      <c r="D68" s="53" t="s">
        <v>103</v>
      </c>
      <c r="E68" s="53" t="s">
        <v>3</v>
      </c>
      <c r="F68" s="53">
        <v>1</v>
      </c>
      <c r="G68" s="54">
        <v>4</v>
      </c>
      <c r="H68" s="54">
        <v>2</v>
      </c>
      <c r="I68" s="54">
        <v>0</v>
      </c>
      <c r="J68" s="54">
        <v>0</v>
      </c>
      <c r="K68" s="54">
        <v>4</v>
      </c>
      <c r="L68" s="55">
        <v>2</v>
      </c>
      <c r="M68" s="56">
        <v>0</v>
      </c>
      <c r="N68" s="56">
        <v>0</v>
      </c>
      <c r="O68" s="54">
        <v>0</v>
      </c>
      <c r="P68" s="55">
        <v>160</v>
      </c>
    </row>
    <row r="69" spans="2:16" x14ac:dyDescent="0.3">
      <c r="B69" s="51" t="s">
        <v>398</v>
      </c>
      <c r="C69" s="51" t="s">
        <v>13</v>
      </c>
      <c r="D69" s="53" t="s">
        <v>448</v>
      </c>
      <c r="E69" s="53" t="s">
        <v>3</v>
      </c>
      <c r="F69" s="53">
        <v>1</v>
      </c>
      <c r="G69" s="54">
        <v>4</v>
      </c>
      <c r="H69" s="54">
        <v>2</v>
      </c>
      <c r="I69" s="54">
        <v>0</v>
      </c>
      <c r="J69" s="54">
        <v>0</v>
      </c>
      <c r="K69" s="54">
        <v>4</v>
      </c>
      <c r="L69" s="55">
        <v>2</v>
      </c>
      <c r="M69" s="56">
        <v>0</v>
      </c>
      <c r="N69" s="56">
        <v>0</v>
      </c>
      <c r="O69" s="54">
        <v>0</v>
      </c>
      <c r="P69" s="55">
        <v>160</v>
      </c>
    </row>
    <row r="70" spans="2:16" x14ac:dyDescent="0.3">
      <c r="B70" s="51" t="s">
        <v>330</v>
      </c>
      <c r="C70" s="51" t="s">
        <v>6</v>
      </c>
      <c r="D70" s="53" t="s">
        <v>84</v>
      </c>
      <c r="E70" s="53" t="s">
        <v>3</v>
      </c>
      <c r="F70" s="53">
        <v>1</v>
      </c>
      <c r="G70" s="54">
        <v>4</v>
      </c>
      <c r="H70" s="54">
        <v>2</v>
      </c>
      <c r="I70" s="54">
        <v>0</v>
      </c>
      <c r="J70" s="54">
        <v>0</v>
      </c>
      <c r="K70" s="54">
        <v>4</v>
      </c>
      <c r="L70" s="55">
        <v>2</v>
      </c>
      <c r="M70" s="56">
        <v>0</v>
      </c>
      <c r="N70" s="56">
        <v>0</v>
      </c>
      <c r="O70" s="54">
        <v>0</v>
      </c>
      <c r="P70" s="55">
        <v>160</v>
      </c>
    </row>
    <row r="71" spans="2:16" x14ac:dyDescent="0.3">
      <c r="B71" s="51" t="s">
        <v>385</v>
      </c>
      <c r="C71" s="51" t="s">
        <v>6</v>
      </c>
      <c r="D71" s="53" t="s">
        <v>449</v>
      </c>
      <c r="E71" s="53" t="s">
        <v>3</v>
      </c>
      <c r="F71" s="53">
        <v>1</v>
      </c>
      <c r="G71" s="54">
        <v>4</v>
      </c>
      <c r="H71" s="54">
        <v>2</v>
      </c>
      <c r="I71" s="54">
        <v>0</v>
      </c>
      <c r="J71" s="54">
        <v>0</v>
      </c>
      <c r="K71" s="54">
        <v>4</v>
      </c>
      <c r="L71" s="55">
        <v>2</v>
      </c>
      <c r="M71" s="56">
        <v>0</v>
      </c>
      <c r="N71" s="56">
        <v>0</v>
      </c>
      <c r="O71" s="54">
        <v>0</v>
      </c>
      <c r="P71" s="55">
        <v>160</v>
      </c>
    </row>
    <row r="72" spans="2:16" x14ac:dyDescent="0.3">
      <c r="B72" s="51" t="s">
        <v>174</v>
      </c>
      <c r="C72" s="51" t="s">
        <v>6</v>
      </c>
      <c r="D72" s="53" t="s">
        <v>40</v>
      </c>
      <c r="E72" s="53" t="s">
        <v>3</v>
      </c>
      <c r="F72" s="53">
        <v>1</v>
      </c>
      <c r="G72" s="54">
        <v>4</v>
      </c>
      <c r="H72" s="54">
        <v>2</v>
      </c>
      <c r="I72" s="54">
        <v>4</v>
      </c>
      <c r="J72" s="54">
        <v>2</v>
      </c>
      <c r="K72" s="54">
        <v>0</v>
      </c>
      <c r="L72" s="55">
        <v>0</v>
      </c>
      <c r="M72" s="56">
        <v>1</v>
      </c>
      <c r="N72" s="56">
        <v>1</v>
      </c>
      <c r="O72" s="54">
        <v>140</v>
      </c>
      <c r="P72" s="55">
        <v>0</v>
      </c>
    </row>
    <row r="73" spans="2:16" x14ac:dyDescent="0.3">
      <c r="B73" s="51" t="s">
        <v>85</v>
      </c>
      <c r="C73" s="51" t="s">
        <v>86</v>
      </c>
      <c r="D73" s="53" t="s">
        <v>105</v>
      </c>
      <c r="E73" s="53" t="s">
        <v>3</v>
      </c>
      <c r="F73" s="53">
        <v>1</v>
      </c>
      <c r="G73" s="54">
        <v>4</v>
      </c>
      <c r="H73" s="54">
        <v>2</v>
      </c>
      <c r="I73" s="54">
        <v>0</v>
      </c>
      <c r="J73" s="54">
        <v>0</v>
      </c>
      <c r="K73" s="54">
        <v>4</v>
      </c>
      <c r="L73" s="55">
        <v>2</v>
      </c>
      <c r="M73" s="56">
        <v>0</v>
      </c>
      <c r="N73" s="56">
        <v>0</v>
      </c>
      <c r="O73" s="54">
        <v>0</v>
      </c>
      <c r="P73" s="55">
        <v>160</v>
      </c>
    </row>
    <row r="74" spans="2:16" x14ac:dyDescent="0.3">
      <c r="B74" s="51" t="s">
        <v>182</v>
      </c>
      <c r="C74" s="51" t="s">
        <v>36</v>
      </c>
      <c r="D74" s="53" t="s">
        <v>121</v>
      </c>
      <c r="E74" s="53" t="s">
        <v>17</v>
      </c>
      <c r="F74" s="53">
        <v>1</v>
      </c>
      <c r="G74" s="54">
        <v>6</v>
      </c>
      <c r="H74" s="54">
        <v>6</v>
      </c>
      <c r="I74" s="54">
        <v>0</v>
      </c>
      <c r="J74" s="54">
        <v>0</v>
      </c>
      <c r="K74" s="54">
        <v>6</v>
      </c>
      <c r="L74" s="55">
        <v>6</v>
      </c>
      <c r="M74" s="56">
        <v>0</v>
      </c>
      <c r="N74" s="56">
        <v>0</v>
      </c>
      <c r="O74" s="54">
        <v>0</v>
      </c>
      <c r="P74" s="55">
        <v>360</v>
      </c>
    </row>
    <row r="75" spans="2:16" x14ac:dyDescent="0.3">
      <c r="B75" s="51" t="s">
        <v>336</v>
      </c>
      <c r="C75" s="51" t="s">
        <v>13</v>
      </c>
      <c r="D75" s="53" t="s">
        <v>92</v>
      </c>
      <c r="E75" s="53" t="s">
        <v>3</v>
      </c>
      <c r="F75" s="53">
        <v>1</v>
      </c>
      <c r="G75" s="54">
        <v>4</v>
      </c>
      <c r="H75" s="54">
        <v>2</v>
      </c>
      <c r="I75" s="54">
        <v>0</v>
      </c>
      <c r="J75" s="54">
        <v>0</v>
      </c>
      <c r="K75" s="54">
        <v>4</v>
      </c>
      <c r="L75" s="55">
        <v>2</v>
      </c>
      <c r="M75" s="56">
        <v>0</v>
      </c>
      <c r="N75" s="56">
        <v>0</v>
      </c>
      <c r="O75" s="54">
        <v>0</v>
      </c>
      <c r="P75" s="55">
        <v>160</v>
      </c>
    </row>
    <row r="76" spans="2:16" x14ac:dyDescent="0.3">
      <c r="B76" s="51" t="s">
        <v>358</v>
      </c>
      <c r="C76" s="51" t="s">
        <v>6</v>
      </c>
      <c r="D76" s="53" t="s">
        <v>450</v>
      </c>
      <c r="E76" s="53" t="s">
        <v>10</v>
      </c>
      <c r="F76" s="53">
        <v>2</v>
      </c>
      <c r="G76" s="54">
        <v>16</v>
      </c>
      <c r="H76" s="54">
        <v>16</v>
      </c>
      <c r="I76" s="54">
        <v>12</v>
      </c>
      <c r="J76" s="54">
        <v>12</v>
      </c>
      <c r="K76" s="54">
        <v>4</v>
      </c>
      <c r="L76" s="55">
        <v>4</v>
      </c>
      <c r="M76" s="56">
        <v>0.75</v>
      </c>
      <c r="N76" s="56">
        <v>0.75</v>
      </c>
      <c r="O76" s="54">
        <v>600</v>
      </c>
      <c r="P76" s="55">
        <v>240</v>
      </c>
    </row>
    <row r="77" spans="2:16" x14ac:dyDescent="0.3">
      <c r="B77" s="51" t="s">
        <v>332</v>
      </c>
      <c r="C77" s="51" t="s">
        <v>42</v>
      </c>
      <c r="D77" s="53" t="s">
        <v>51</v>
      </c>
      <c r="E77" s="53" t="s">
        <v>17</v>
      </c>
      <c r="F77" s="53">
        <v>1</v>
      </c>
      <c r="G77" s="54">
        <v>6</v>
      </c>
      <c r="H77" s="54">
        <v>6</v>
      </c>
      <c r="I77" s="54">
        <v>0</v>
      </c>
      <c r="J77" s="54">
        <v>0</v>
      </c>
      <c r="K77" s="54">
        <v>6</v>
      </c>
      <c r="L77" s="55">
        <v>6</v>
      </c>
      <c r="M77" s="56">
        <v>0</v>
      </c>
      <c r="N77" s="56">
        <v>0</v>
      </c>
      <c r="O77" s="54">
        <v>0</v>
      </c>
      <c r="P77" s="55">
        <v>360</v>
      </c>
    </row>
    <row r="78" spans="2:16" x14ac:dyDescent="0.3">
      <c r="B78" s="51" t="s">
        <v>263</v>
      </c>
      <c r="C78" s="51" t="s">
        <v>2</v>
      </c>
      <c r="D78" s="53" t="s">
        <v>111</v>
      </c>
      <c r="E78" s="53" t="s">
        <v>10</v>
      </c>
      <c r="F78" s="53">
        <v>1</v>
      </c>
      <c r="G78" s="54">
        <v>8</v>
      </c>
      <c r="H78" s="54">
        <v>8</v>
      </c>
      <c r="I78" s="54">
        <v>0</v>
      </c>
      <c r="J78" s="54">
        <v>0</v>
      </c>
      <c r="K78" s="54">
        <v>8</v>
      </c>
      <c r="L78" s="55">
        <v>8</v>
      </c>
      <c r="M78" s="56">
        <v>0</v>
      </c>
      <c r="N78" s="56">
        <v>0</v>
      </c>
      <c r="O78" s="54">
        <v>0</v>
      </c>
      <c r="P78" s="55">
        <v>480</v>
      </c>
    </row>
    <row r="79" spans="2:16" x14ac:dyDescent="0.3">
      <c r="B79" s="51" t="s">
        <v>360</v>
      </c>
      <c r="C79" s="51" t="s">
        <v>534</v>
      </c>
      <c r="D79" s="53" t="s">
        <v>138</v>
      </c>
      <c r="E79" s="53" t="s">
        <v>3</v>
      </c>
      <c r="F79" s="53">
        <v>1</v>
      </c>
      <c r="G79" s="54">
        <v>4</v>
      </c>
      <c r="H79" s="54">
        <v>2</v>
      </c>
      <c r="I79" s="54">
        <v>2</v>
      </c>
      <c r="J79" s="54">
        <v>1</v>
      </c>
      <c r="K79" s="54">
        <v>2</v>
      </c>
      <c r="L79" s="55">
        <v>1</v>
      </c>
      <c r="M79" s="56">
        <v>0.5</v>
      </c>
      <c r="N79" s="56">
        <v>0.5</v>
      </c>
      <c r="O79" s="54">
        <v>40</v>
      </c>
      <c r="P79" s="55">
        <v>80</v>
      </c>
    </row>
    <row r="80" spans="2:16" x14ac:dyDescent="0.3">
      <c r="B80" s="51" t="s">
        <v>50</v>
      </c>
      <c r="C80" s="51" t="s">
        <v>13</v>
      </c>
      <c r="D80" s="53" t="s">
        <v>154</v>
      </c>
      <c r="E80" s="53" t="s">
        <v>3</v>
      </c>
      <c r="F80" s="53">
        <v>1</v>
      </c>
      <c r="G80" s="54">
        <v>4</v>
      </c>
      <c r="H80" s="54">
        <v>2</v>
      </c>
      <c r="I80" s="54">
        <v>2</v>
      </c>
      <c r="J80" s="54">
        <v>2</v>
      </c>
      <c r="K80" s="54">
        <v>2</v>
      </c>
      <c r="L80" s="55">
        <v>0</v>
      </c>
      <c r="M80" s="56">
        <v>0.5</v>
      </c>
      <c r="N80" s="56">
        <v>1</v>
      </c>
      <c r="O80" s="54">
        <v>0</v>
      </c>
      <c r="P80" s="55">
        <v>40</v>
      </c>
    </row>
    <row r="81" spans="2:16" x14ac:dyDescent="0.3">
      <c r="B81" s="51" t="s">
        <v>361</v>
      </c>
      <c r="C81" s="51" t="s">
        <v>13</v>
      </c>
      <c r="D81" s="53" t="s">
        <v>451</v>
      </c>
      <c r="E81" s="53" t="s">
        <v>10</v>
      </c>
      <c r="F81" s="53">
        <v>1</v>
      </c>
      <c r="G81" s="54">
        <v>8</v>
      </c>
      <c r="H81" s="54">
        <v>8</v>
      </c>
      <c r="I81" s="54">
        <v>0</v>
      </c>
      <c r="J81" s="54">
        <v>0</v>
      </c>
      <c r="K81" s="54">
        <v>8</v>
      </c>
      <c r="L81" s="55">
        <v>8</v>
      </c>
      <c r="M81" s="56">
        <v>0</v>
      </c>
      <c r="N81" s="56">
        <v>0</v>
      </c>
      <c r="O81" s="54">
        <v>0</v>
      </c>
      <c r="P81" s="55">
        <v>480</v>
      </c>
    </row>
    <row r="82" spans="2:16" x14ac:dyDescent="0.3">
      <c r="B82" s="51" t="s">
        <v>308</v>
      </c>
      <c r="C82" s="51" t="s">
        <v>13</v>
      </c>
      <c r="D82" s="53" t="s">
        <v>218</v>
      </c>
      <c r="E82" s="53" t="s">
        <v>3</v>
      </c>
      <c r="F82" s="53">
        <v>1</v>
      </c>
      <c r="G82" s="54">
        <v>4</v>
      </c>
      <c r="H82" s="54">
        <v>2</v>
      </c>
      <c r="I82" s="54">
        <v>0</v>
      </c>
      <c r="J82" s="54">
        <v>0</v>
      </c>
      <c r="K82" s="54">
        <v>4</v>
      </c>
      <c r="L82" s="55">
        <v>2</v>
      </c>
      <c r="M82" s="56">
        <v>0</v>
      </c>
      <c r="N82" s="56">
        <v>0</v>
      </c>
      <c r="O82" s="54">
        <v>0</v>
      </c>
      <c r="P82" s="55">
        <v>160</v>
      </c>
    </row>
    <row r="83" spans="2:16" x14ac:dyDescent="0.3">
      <c r="B83" s="51" t="s">
        <v>328</v>
      </c>
      <c r="C83" s="51" t="s">
        <v>13</v>
      </c>
      <c r="D83" s="53" t="s">
        <v>195</v>
      </c>
      <c r="E83" s="53" t="s">
        <v>3</v>
      </c>
      <c r="F83" s="53">
        <v>1</v>
      </c>
      <c r="G83" s="54">
        <v>4</v>
      </c>
      <c r="H83" s="54">
        <v>2</v>
      </c>
      <c r="I83" s="54">
        <v>0</v>
      </c>
      <c r="J83" s="54">
        <v>0</v>
      </c>
      <c r="K83" s="54">
        <v>4</v>
      </c>
      <c r="L83" s="55">
        <v>2</v>
      </c>
      <c r="M83" s="56">
        <v>0</v>
      </c>
      <c r="N83" s="56">
        <v>0</v>
      </c>
      <c r="O83" s="54">
        <v>0</v>
      </c>
      <c r="P83" s="55">
        <v>160</v>
      </c>
    </row>
    <row r="84" spans="2:16" x14ac:dyDescent="0.3">
      <c r="B84" s="51" t="s">
        <v>81</v>
      </c>
      <c r="C84" s="51" t="s">
        <v>6</v>
      </c>
      <c r="D84" s="53" t="s">
        <v>183</v>
      </c>
      <c r="E84" s="53" t="s">
        <v>10</v>
      </c>
      <c r="F84" s="53">
        <v>2</v>
      </c>
      <c r="G84" s="54">
        <v>16</v>
      </c>
      <c r="H84" s="54">
        <v>16</v>
      </c>
      <c r="I84" s="54">
        <v>0</v>
      </c>
      <c r="J84" s="54">
        <v>0</v>
      </c>
      <c r="K84" s="54">
        <v>16</v>
      </c>
      <c r="L84" s="55">
        <v>16</v>
      </c>
      <c r="M84" s="56">
        <v>0</v>
      </c>
      <c r="N84" s="56">
        <v>0</v>
      </c>
      <c r="O84" s="54">
        <v>0</v>
      </c>
      <c r="P84" s="55">
        <v>960</v>
      </c>
    </row>
    <row r="85" spans="2:16" x14ac:dyDescent="0.3">
      <c r="B85" s="51" t="s">
        <v>126</v>
      </c>
      <c r="C85" s="51" t="s">
        <v>6</v>
      </c>
      <c r="D85" s="53" t="s">
        <v>193</v>
      </c>
      <c r="E85" s="53" t="s">
        <v>10</v>
      </c>
      <c r="F85" s="53">
        <v>1</v>
      </c>
      <c r="G85" s="54">
        <v>8</v>
      </c>
      <c r="H85" s="54">
        <v>8</v>
      </c>
      <c r="I85" s="54">
        <v>0</v>
      </c>
      <c r="J85" s="54">
        <v>4</v>
      </c>
      <c r="K85" s="54">
        <v>8</v>
      </c>
      <c r="L85" s="55">
        <v>4</v>
      </c>
      <c r="M85" s="56">
        <v>0</v>
      </c>
      <c r="N85" s="56">
        <v>0.5</v>
      </c>
      <c r="O85" s="54">
        <v>0</v>
      </c>
      <c r="P85" s="55">
        <v>320</v>
      </c>
    </row>
    <row r="86" spans="2:16" x14ac:dyDescent="0.3">
      <c r="B86" s="51" t="s">
        <v>283</v>
      </c>
      <c r="C86" s="51" t="s">
        <v>2</v>
      </c>
      <c r="D86" s="53" t="s">
        <v>168</v>
      </c>
      <c r="E86" s="53" t="s">
        <v>3</v>
      </c>
      <c r="F86" s="53">
        <v>1</v>
      </c>
      <c r="G86" s="54">
        <v>4</v>
      </c>
      <c r="H86" s="54">
        <v>2</v>
      </c>
      <c r="I86" s="54">
        <v>0</v>
      </c>
      <c r="J86" s="59">
        <v>0</v>
      </c>
      <c r="K86" s="54">
        <v>4</v>
      </c>
      <c r="L86" s="55">
        <v>2</v>
      </c>
      <c r="M86" s="56">
        <v>0</v>
      </c>
      <c r="N86" s="56">
        <v>0</v>
      </c>
      <c r="O86" s="54">
        <v>0</v>
      </c>
      <c r="P86" s="55">
        <v>160</v>
      </c>
    </row>
    <row r="87" spans="2:16" x14ac:dyDescent="0.3">
      <c r="B87" s="51" t="s">
        <v>15</v>
      </c>
      <c r="C87" s="51" t="s">
        <v>16</v>
      </c>
      <c r="D87" s="53" t="s">
        <v>208</v>
      </c>
      <c r="E87" s="53" t="s">
        <v>17</v>
      </c>
      <c r="F87" s="53">
        <v>1</v>
      </c>
      <c r="G87" s="54">
        <v>6</v>
      </c>
      <c r="H87" s="54">
        <v>6</v>
      </c>
      <c r="I87" s="54">
        <v>0</v>
      </c>
      <c r="J87" s="54">
        <v>0</v>
      </c>
      <c r="K87" s="54">
        <v>6</v>
      </c>
      <c r="L87" s="55">
        <v>6</v>
      </c>
      <c r="M87" s="56">
        <v>0</v>
      </c>
      <c r="N87" s="56">
        <v>0</v>
      </c>
      <c r="O87" s="54">
        <v>0</v>
      </c>
      <c r="P87" s="55">
        <v>360</v>
      </c>
    </row>
    <row r="88" spans="2:16" x14ac:dyDescent="0.3">
      <c r="B88" s="51" t="s">
        <v>69</v>
      </c>
      <c r="C88" s="51" t="s">
        <v>70</v>
      </c>
      <c r="D88" s="53" t="s">
        <v>171</v>
      </c>
      <c r="E88" s="53" t="s">
        <v>3</v>
      </c>
      <c r="F88" s="53">
        <v>1</v>
      </c>
      <c r="G88" s="54">
        <v>4</v>
      </c>
      <c r="H88" s="54">
        <v>2</v>
      </c>
      <c r="I88" s="54">
        <v>0</v>
      </c>
      <c r="J88" s="54">
        <v>0</v>
      </c>
      <c r="K88" s="54">
        <v>4</v>
      </c>
      <c r="L88" s="55">
        <v>2</v>
      </c>
      <c r="M88" s="56">
        <v>0</v>
      </c>
      <c r="N88" s="56">
        <v>0</v>
      </c>
      <c r="O88" s="54">
        <v>0</v>
      </c>
      <c r="P88" s="55">
        <v>160</v>
      </c>
    </row>
    <row r="89" spans="2:16" x14ac:dyDescent="0.3">
      <c r="B89" s="51" t="s">
        <v>46</v>
      </c>
      <c r="C89" s="51" t="s">
        <v>9</v>
      </c>
      <c r="D89" s="53" t="s">
        <v>175</v>
      </c>
      <c r="E89" s="53" t="s">
        <v>3</v>
      </c>
      <c r="F89" s="53">
        <v>1</v>
      </c>
      <c r="G89" s="54">
        <v>4</v>
      </c>
      <c r="H89" s="54">
        <v>2</v>
      </c>
      <c r="I89" s="54">
        <v>2</v>
      </c>
      <c r="J89" s="54">
        <v>2</v>
      </c>
      <c r="K89" s="54">
        <v>2</v>
      </c>
      <c r="L89" s="55">
        <v>0</v>
      </c>
      <c r="M89" s="56">
        <v>0.5</v>
      </c>
      <c r="N89" s="56">
        <v>1</v>
      </c>
      <c r="O89" s="54">
        <v>16</v>
      </c>
      <c r="P89" s="55">
        <v>40</v>
      </c>
    </row>
    <row r="90" spans="2:16" x14ac:dyDescent="0.3">
      <c r="B90" s="51" t="s">
        <v>159</v>
      </c>
      <c r="C90" s="51" t="s">
        <v>9</v>
      </c>
      <c r="D90" s="53" t="s">
        <v>162</v>
      </c>
      <c r="E90" s="53" t="s">
        <v>3</v>
      </c>
      <c r="F90" s="53">
        <v>1</v>
      </c>
      <c r="G90" s="54">
        <v>4</v>
      </c>
      <c r="H90" s="54">
        <v>2</v>
      </c>
      <c r="I90" s="54">
        <v>0</v>
      </c>
      <c r="J90" s="54">
        <v>0</v>
      </c>
      <c r="K90" s="54">
        <v>4</v>
      </c>
      <c r="L90" s="55">
        <v>2</v>
      </c>
      <c r="M90" s="56">
        <v>0</v>
      </c>
      <c r="N90" s="56">
        <v>0</v>
      </c>
      <c r="O90" s="54">
        <v>0</v>
      </c>
      <c r="P90" s="55">
        <v>160</v>
      </c>
    </row>
    <row r="91" spans="2:16" x14ac:dyDescent="0.3">
      <c r="B91" s="51" t="s">
        <v>188</v>
      </c>
      <c r="C91" s="51" t="s">
        <v>9</v>
      </c>
      <c r="D91" s="53" t="s">
        <v>189</v>
      </c>
      <c r="E91" s="53" t="s">
        <v>3</v>
      </c>
      <c r="F91" s="53">
        <v>1</v>
      </c>
      <c r="G91" s="54">
        <v>4</v>
      </c>
      <c r="H91" s="54">
        <v>2</v>
      </c>
      <c r="I91" s="54">
        <v>1</v>
      </c>
      <c r="J91" s="54">
        <v>0</v>
      </c>
      <c r="K91" s="54">
        <v>3</v>
      </c>
      <c r="L91" s="55">
        <v>2</v>
      </c>
      <c r="M91" s="56">
        <v>0.25</v>
      </c>
      <c r="N91" s="56">
        <v>0</v>
      </c>
      <c r="O91" s="54">
        <v>0</v>
      </c>
      <c r="P91" s="55">
        <v>140</v>
      </c>
    </row>
    <row r="92" spans="2:16" x14ac:dyDescent="0.3">
      <c r="B92" s="51" t="s">
        <v>241</v>
      </c>
      <c r="C92" s="51" t="s">
        <v>42</v>
      </c>
      <c r="D92" s="53" t="s">
        <v>152</v>
      </c>
      <c r="E92" s="53" t="s">
        <v>3</v>
      </c>
      <c r="F92" s="53">
        <v>1</v>
      </c>
      <c r="G92" s="54">
        <v>4</v>
      </c>
      <c r="H92" s="54">
        <v>2</v>
      </c>
      <c r="I92" s="54">
        <v>1</v>
      </c>
      <c r="J92" s="54">
        <v>1</v>
      </c>
      <c r="K92" s="54">
        <v>3</v>
      </c>
      <c r="L92" s="55">
        <v>1</v>
      </c>
      <c r="M92" s="56">
        <v>0.25</v>
      </c>
      <c r="N92" s="56">
        <v>0.5</v>
      </c>
      <c r="O92" s="54">
        <v>60</v>
      </c>
      <c r="P92" s="55">
        <v>100</v>
      </c>
    </row>
    <row r="93" spans="2:16" x14ac:dyDescent="0.3">
      <c r="B93" s="51" t="s">
        <v>22</v>
      </c>
      <c r="C93" s="51" t="s">
        <v>6</v>
      </c>
      <c r="D93" s="53" t="s">
        <v>222</v>
      </c>
      <c r="E93" s="53" t="s">
        <v>10</v>
      </c>
      <c r="F93" s="53">
        <v>4</v>
      </c>
      <c r="G93" s="54">
        <v>32</v>
      </c>
      <c r="H93" s="54">
        <v>32</v>
      </c>
      <c r="I93" s="54">
        <v>32</v>
      </c>
      <c r="J93" s="54">
        <v>31</v>
      </c>
      <c r="K93" s="54">
        <v>0</v>
      </c>
      <c r="L93" s="55">
        <v>1</v>
      </c>
      <c r="M93" s="56">
        <v>1</v>
      </c>
      <c r="N93" s="56">
        <v>0.96875</v>
      </c>
      <c r="O93" s="54">
        <v>1547</v>
      </c>
      <c r="P93" s="55">
        <v>40</v>
      </c>
    </row>
    <row r="94" spans="2:16" x14ac:dyDescent="0.3">
      <c r="B94" s="51" t="s">
        <v>205</v>
      </c>
      <c r="C94" s="51" t="s">
        <v>6</v>
      </c>
      <c r="D94" s="53" t="s">
        <v>206</v>
      </c>
      <c r="E94" s="53" t="s">
        <v>3</v>
      </c>
      <c r="F94" s="53">
        <v>1</v>
      </c>
      <c r="G94" s="54">
        <v>4</v>
      </c>
      <c r="H94" s="54">
        <v>2</v>
      </c>
      <c r="I94" s="54">
        <v>0</v>
      </c>
      <c r="J94" s="54">
        <v>0</v>
      </c>
      <c r="K94" s="54">
        <v>4</v>
      </c>
      <c r="L94" s="55">
        <v>2</v>
      </c>
      <c r="M94" s="56">
        <v>0</v>
      </c>
      <c r="N94" s="56">
        <v>0</v>
      </c>
      <c r="O94" s="54">
        <v>0</v>
      </c>
      <c r="P94" s="55">
        <v>160</v>
      </c>
    </row>
    <row r="95" spans="2:16" x14ac:dyDescent="0.3">
      <c r="B95" s="51" t="s">
        <v>134</v>
      </c>
      <c r="C95" s="51" t="s">
        <v>6</v>
      </c>
      <c r="D95" s="53" t="s">
        <v>200</v>
      </c>
      <c r="E95" s="53" t="s">
        <v>3</v>
      </c>
      <c r="F95" s="53">
        <v>1</v>
      </c>
      <c r="G95" s="54">
        <v>4</v>
      </c>
      <c r="H95" s="54">
        <v>2</v>
      </c>
      <c r="I95" s="54">
        <v>0</v>
      </c>
      <c r="J95" s="54">
        <v>0</v>
      </c>
      <c r="K95" s="54">
        <v>4</v>
      </c>
      <c r="L95" s="55">
        <v>2</v>
      </c>
      <c r="M95" s="56">
        <v>0</v>
      </c>
      <c r="N95" s="56">
        <v>0</v>
      </c>
      <c r="O95" s="54">
        <v>0</v>
      </c>
      <c r="P95" s="55">
        <v>160</v>
      </c>
    </row>
    <row r="96" spans="2:16" x14ac:dyDescent="0.3">
      <c r="B96" s="51" t="s">
        <v>91</v>
      </c>
      <c r="C96" s="51" t="s">
        <v>2</v>
      </c>
      <c r="D96" s="53" t="s">
        <v>202</v>
      </c>
      <c r="E96" s="53" t="s">
        <v>17</v>
      </c>
      <c r="F96" s="53">
        <v>1</v>
      </c>
      <c r="G96" s="54">
        <v>6</v>
      </c>
      <c r="H96" s="54">
        <v>6</v>
      </c>
      <c r="I96" s="54">
        <v>2</v>
      </c>
      <c r="J96" s="54">
        <v>2</v>
      </c>
      <c r="K96" s="54">
        <v>4</v>
      </c>
      <c r="L96" s="55">
        <v>4</v>
      </c>
      <c r="M96" s="56">
        <v>0.33333333333333331</v>
      </c>
      <c r="N96" s="56">
        <v>0.33333333333333331</v>
      </c>
      <c r="O96" s="54">
        <v>120</v>
      </c>
      <c r="P96" s="55">
        <v>240</v>
      </c>
    </row>
    <row r="97" spans="2:16" x14ac:dyDescent="0.3">
      <c r="B97" s="51" t="s">
        <v>54</v>
      </c>
      <c r="C97" s="51" t="s">
        <v>6</v>
      </c>
      <c r="D97" s="53" t="s">
        <v>226</v>
      </c>
      <c r="E97" s="53" t="s">
        <v>17</v>
      </c>
      <c r="F97" s="53">
        <v>1</v>
      </c>
      <c r="G97" s="54">
        <v>6</v>
      </c>
      <c r="H97" s="54">
        <v>6</v>
      </c>
      <c r="I97" s="54">
        <v>0</v>
      </c>
      <c r="J97" s="54">
        <v>3</v>
      </c>
      <c r="K97" s="54">
        <v>6</v>
      </c>
      <c r="L97" s="55">
        <v>3</v>
      </c>
      <c r="M97" s="56">
        <v>0</v>
      </c>
      <c r="N97" s="56">
        <v>0.5</v>
      </c>
      <c r="O97" s="54">
        <v>120</v>
      </c>
      <c r="P97" s="55">
        <v>240</v>
      </c>
    </row>
    <row r="98" spans="2:16" x14ac:dyDescent="0.3">
      <c r="B98" s="51" t="s">
        <v>403</v>
      </c>
      <c r="C98" s="51" t="s">
        <v>6</v>
      </c>
      <c r="D98" s="53" t="s">
        <v>452</v>
      </c>
      <c r="E98" s="53" t="s">
        <v>10</v>
      </c>
      <c r="F98" s="53">
        <v>1</v>
      </c>
      <c r="G98" s="54">
        <v>8</v>
      </c>
      <c r="H98" s="54">
        <v>8</v>
      </c>
      <c r="I98" s="54">
        <v>0</v>
      </c>
      <c r="J98" s="54">
        <v>0</v>
      </c>
      <c r="K98" s="54">
        <v>8</v>
      </c>
      <c r="L98" s="55">
        <v>8</v>
      </c>
      <c r="M98" s="56">
        <v>0</v>
      </c>
      <c r="N98" s="56">
        <v>0</v>
      </c>
      <c r="O98" s="54">
        <v>0</v>
      </c>
      <c r="P98" s="55">
        <v>480</v>
      </c>
    </row>
    <row r="99" spans="2:16" x14ac:dyDescent="0.3">
      <c r="B99" s="51" t="s">
        <v>44</v>
      </c>
      <c r="C99" s="51" t="s">
        <v>42</v>
      </c>
      <c r="D99" s="53" t="s">
        <v>158</v>
      </c>
      <c r="E99" s="53" t="s">
        <v>3</v>
      </c>
      <c r="F99" s="53">
        <v>1</v>
      </c>
      <c r="G99" s="54">
        <v>4</v>
      </c>
      <c r="H99" s="54">
        <v>2</v>
      </c>
      <c r="I99" s="54">
        <v>1</v>
      </c>
      <c r="J99" s="54">
        <v>1</v>
      </c>
      <c r="K99" s="54">
        <v>3</v>
      </c>
      <c r="L99" s="55">
        <v>1</v>
      </c>
      <c r="M99" s="56">
        <v>0.25</v>
      </c>
      <c r="N99" s="56">
        <v>0.5</v>
      </c>
      <c r="O99" s="54">
        <v>0</v>
      </c>
      <c r="P99" s="55">
        <v>100</v>
      </c>
    </row>
    <row r="100" spans="2:16" x14ac:dyDescent="0.3">
      <c r="B100" s="51" t="s">
        <v>261</v>
      </c>
      <c r="C100" s="51" t="s">
        <v>42</v>
      </c>
      <c r="D100" s="53" t="s">
        <v>144</v>
      </c>
      <c r="E100" s="53" t="s">
        <v>17</v>
      </c>
      <c r="F100" s="53">
        <v>1</v>
      </c>
      <c r="G100" s="54">
        <v>6</v>
      </c>
      <c r="H100" s="54">
        <v>6</v>
      </c>
      <c r="I100" s="54">
        <v>0</v>
      </c>
      <c r="J100" s="54">
        <v>0</v>
      </c>
      <c r="K100" s="54">
        <v>6</v>
      </c>
      <c r="L100" s="55">
        <v>6</v>
      </c>
      <c r="M100" s="56">
        <v>0</v>
      </c>
      <c r="N100" s="56">
        <v>0</v>
      </c>
      <c r="O100" s="54">
        <v>0</v>
      </c>
      <c r="P100" s="55">
        <v>360</v>
      </c>
    </row>
    <row r="101" spans="2:16" x14ac:dyDescent="0.3">
      <c r="B101" s="51" t="s">
        <v>75</v>
      </c>
      <c r="C101" s="51" t="s">
        <v>42</v>
      </c>
      <c r="D101" s="53" t="s">
        <v>181</v>
      </c>
      <c r="E101" s="53" t="s">
        <v>3</v>
      </c>
      <c r="F101" s="53">
        <v>1</v>
      </c>
      <c r="G101" s="54">
        <v>4</v>
      </c>
      <c r="H101" s="54">
        <v>2</v>
      </c>
      <c r="I101" s="54">
        <v>0</v>
      </c>
      <c r="J101" s="54">
        <v>0</v>
      </c>
      <c r="K101" s="54">
        <v>4</v>
      </c>
      <c r="L101" s="55">
        <v>2</v>
      </c>
      <c r="M101" s="56">
        <v>0</v>
      </c>
      <c r="N101" s="56">
        <v>0</v>
      </c>
      <c r="O101" s="54">
        <v>0</v>
      </c>
      <c r="P101" s="55">
        <v>160</v>
      </c>
    </row>
    <row r="102" spans="2:16" x14ac:dyDescent="0.3">
      <c r="B102" s="51" t="s">
        <v>256</v>
      </c>
      <c r="C102" s="51" t="s">
        <v>42</v>
      </c>
      <c r="D102" s="53" t="s">
        <v>150</v>
      </c>
      <c r="E102" s="53" t="s">
        <v>17</v>
      </c>
      <c r="F102" s="53">
        <v>1</v>
      </c>
      <c r="G102" s="54">
        <v>6</v>
      </c>
      <c r="H102" s="54">
        <v>6</v>
      </c>
      <c r="I102" s="54">
        <v>2</v>
      </c>
      <c r="J102" s="54">
        <v>0</v>
      </c>
      <c r="K102" s="54">
        <v>4</v>
      </c>
      <c r="L102" s="55">
        <v>6</v>
      </c>
      <c r="M102" s="56">
        <v>0.33333333333333331</v>
      </c>
      <c r="N102" s="56">
        <v>0</v>
      </c>
      <c r="O102" s="54">
        <v>0</v>
      </c>
      <c r="P102" s="55">
        <v>320</v>
      </c>
    </row>
    <row r="103" spans="2:16" x14ac:dyDescent="0.3">
      <c r="B103" s="51" t="s">
        <v>353</v>
      </c>
      <c r="C103" s="51" t="s">
        <v>42</v>
      </c>
      <c r="D103" s="53" t="s">
        <v>453</v>
      </c>
      <c r="E103" s="53" t="s">
        <v>3</v>
      </c>
      <c r="F103" s="53">
        <v>1</v>
      </c>
      <c r="G103" s="54">
        <v>4</v>
      </c>
      <c r="H103" s="54">
        <v>2</v>
      </c>
      <c r="I103" s="54">
        <v>0</v>
      </c>
      <c r="J103" s="54">
        <v>1</v>
      </c>
      <c r="K103" s="54">
        <v>4</v>
      </c>
      <c r="L103" s="55">
        <v>1</v>
      </c>
      <c r="M103" s="56">
        <v>0</v>
      </c>
      <c r="N103" s="56">
        <v>0.5</v>
      </c>
      <c r="O103" s="54">
        <v>0</v>
      </c>
      <c r="P103" s="55">
        <v>120</v>
      </c>
    </row>
    <row r="104" spans="2:16" x14ac:dyDescent="0.3">
      <c r="B104" s="51" t="s">
        <v>110</v>
      </c>
      <c r="C104" s="51" t="s">
        <v>2</v>
      </c>
      <c r="D104" s="53" t="s">
        <v>224</v>
      </c>
      <c r="E104" s="53" t="s">
        <v>10</v>
      </c>
      <c r="F104" s="53">
        <v>2</v>
      </c>
      <c r="G104" s="54">
        <v>16</v>
      </c>
      <c r="H104" s="54">
        <v>16</v>
      </c>
      <c r="I104" s="54">
        <v>16</v>
      </c>
      <c r="J104" s="54">
        <v>4</v>
      </c>
      <c r="K104" s="54">
        <v>0</v>
      </c>
      <c r="L104" s="55">
        <v>12</v>
      </c>
      <c r="M104" s="56">
        <v>1</v>
      </c>
      <c r="N104" s="56">
        <v>0.25</v>
      </c>
      <c r="O104" s="54">
        <v>236</v>
      </c>
      <c r="P104" s="55">
        <v>480</v>
      </c>
    </row>
    <row r="105" spans="2:16" x14ac:dyDescent="0.3">
      <c r="B105" s="51" t="s">
        <v>41</v>
      </c>
      <c r="C105" s="51" t="s">
        <v>42</v>
      </c>
      <c r="D105" s="53" t="s">
        <v>148</v>
      </c>
      <c r="E105" s="53" t="s">
        <v>3</v>
      </c>
      <c r="F105" s="53">
        <v>1</v>
      </c>
      <c r="G105" s="54">
        <v>4</v>
      </c>
      <c r="H105" s="54">
        <v>2</v>
      </c>
      <c r="I105" s="54">
        <v>2</v>
      </c>
      <c r="J105" s="54">
        <v>2</v>
      </c>
      <c r="K105" s="54">
        <v>2</v>
      </c>
      <c r="L105" s="55">
        <v>0</v>
      </c>
      <c r="M105" s="56">
        <v>0.5</v>
      </c>
      <c r="N105" s="56">
        <v>1</v>
      </c>
      <c r="O105" s="54">
        <v>0</v>
      </c>
      <c r="P105" s="55">
        <v>40</v>
      </c>
    </row>
    <row r="106" spans="2:16" x14ac:dyDescent="0.3">
      <c r="B106" s="51" t="s">
        <v>383</v>
      </c>
      <c r="C106" s="51" t="s">
        <v>42</v>
      </c>
      <c r="D106" s="53" t="s">
        <v>454</v>
      </c>
      <c r="E106" s="53" t="s">
        <v>17</v>
      </c>
      <c r="F106" s="53">
        <v>1</v>
      </c>
      <c r="G106" s="54">
        <v>6</v>
      </c>
      <c r="H106" s="54">
        <v>6</v>
      </c>
      <c r="I106" s="54">
        <v>0</v>
      </c>
      <c r="J106" s="54">
        <v>0</v>
      </c>
      <c r="K106" s="54">
        <v>6</v>
      </c>
      <c r="L106" s="55">
        <v>6</v>
      </c>
      <c r="M106" s="56">
        <v>0</v>
      </c>
      <c r="N106" s="56">
        <v>0</v>
      </c>
      <c r="O106" s="54">
        <v>0</v>
      </c>
      <c r="P106" s="55">
        <v>360</v>
      </c>
    </row>
    <row r="107" spans="2:16" x14ac:dyDescent="0.3">
      <c r="B107" s="51" t="s">
        <v>24</v>
      </c>
      <c r="C107" s="51" t="s">
        <v>16</v>
      </c>
      <c r="D107" s="53" t="s">
        <v>146</v>
      </c>
      <c r="E107" s="53" t="s">
        <v>3</v>
      </c>
      <c r="F107" s="53">
        <v>2</v>
      </c>
      <c r="G107" s="54">
        <v>8</v>
      </c>
      <c r="H107" s="54">
        <v>4</v>
      </c>
      <c r="I107" s="54">
        <v>2</v>
      </c>
      <c r="J107" s="54">
        <v>0</v>
      </c>
      <c r="K107" s="54">
        <v>6</v>
      </c>
      <c r="L107" s="55">
        <v>4</v>
      </c>
      <c r="M107" s="56">
        <v>0.25</v>
      </c>
      <c r="N107" s="56">
        <v>0</v>
      </c>
      <c r="O107" s="54">
        <v>0</v>
      </c>
      <c r="P107" s="55">
        <v>280</v>
      </c>
    </row>
    <row r="108" spans="2:16" x14ac:dyDescent="0.3">
      <c r="B108" s="51" t="s">
        <v>157</v>
      </c>
      <c r="C108" s="51" t="s">
        <v>16</v>
      </c>
      <c r="D108" s="53" t="s">
        <v>177</v>
      </c>
      <c r="E108" s="53" t="s">
        <v>3</v>
      </c>
      <c r="F108" s="53">
        <v>1</v>
      </c>
      <c r="G108" s="54">
        <v>4</v>
      </c>
      <c r="H108" s="54">
        <v>2</v>
      </c>
      <c r="I108" s="54">
        <v>2</v>
      </c>
      <c r="J108" s="54">
        <v>0</v>
      </c>
      <c r="K108" s="54">
        <v>2</v>
      </c>
      <c r="L108" s="55">
        <v>2</v>
      </c>
      <c r="M108" s="56">
        <v>0.5</v>
      </c>
      <c r="N108" s="56">
        <v>0</v>
      </c>
      <c r="O108" s="54">
        <v>0</v>
      </c>
      <c r="P108" s="55">
        <v>120</v>
      </c>
    </row>
    <row r="109" spans="2:16" x14ac:dyDescent="0.3">
      <c r="B109" s="51" t="s">
        <v>100</v>
      </c>
      <c r="C109" s="51" t="s">
        <v>13</v>
      </c>
      <c r="D109" s="53" t="s">
        <v>191</v>
      </c>
      <c r="E109" s="53" t="s">
        <v>3</v>
      </c>
      <c r="F109" s="53">
        <v>2</v>
      </c>
      <c r="G109" s="54">
        <v>8</v>
      </c>
      <c r="H109" s="54">
        <v>4</v>
      </c>
      <c r="I109" s="54">
        <v>0</v>
      </c>
      <c r="J109" s="54">
        <v>0</v>
      </c>
      <c r="K109" s="54">
        <v>8</v>
      </c>
      <c r="L109" s="55">
        <v>4</v>
      </c>
      <c r="M109" s="56">
        <v>0</v>
      </c>
      <c r="N109" s="56">
        <v>0</v>
      </c>
      <c r="O109" s="54">
        <v>0</v>
      </c>
      <c r="P109" s="55">
        <v>320</v>
      </c>
    </row>
    <row r="110" spans="2:16" x14ac:dyDescent="0.3">
      <c r="B110" s="51" t="s">
        <v>116</v>
      </c>
      <c r="C110" s="51" t="s">
        <v>13</v>
      </c>
      <c r="D110" s="53" t="s">
        <v>197</v>
      </c>
      <c r="E110" s="53" t="s">
        <v>17</v>
      </c>
      <c r="F110" s="53">
        <v>2</v>
      </c>
      <c r="G110" s="54">
        <v>12</v>
      </c>
      <c r="H110" s="54">
        <v>12</v>
      </c>
      <c r="I110" s="54">
        <v>0</v>
      </c>
      <c r="J110" s="54">
        <v>0</v>
      </c>
      <c r="K110" s="54">
        <v>12</v>
      </c>
      <c r="L110" s="55">
        <v>12</v>
      </c>
      <c r="M110" s="56">
        <v>0</v>
      </c>
      <c r="N110" s="56">
        <v>0</v>
      </c>
      <c r="O110" s="54">
        <v>0</v>
      </c>
      <c r="P110" s="55">
        <v>720</v>
      </c>
    </row>
    <row r="111" spans="2:16" x14ac:dyDescent="0.3">
      <c r="B111" s="51" t="s">
        <v>60</v>
      </c>
      <c r="C111" s="51" t="s">
        <v>13</v>
      </c>
      <c r="D111" s="53" t="s">
        <v>164</v>
      </c>
      <c r="E111" s="53" t="s">
        <v>3</v>
      </c>
      <c r="F111" s="53">
        <v>1</v>
      </c>
      <c r="G111" s="54">
        <v>4</v>
      </c>
      <c r="H111" s="54">
        <v>2</v>
      </c>
      <c r="I111" s="54">
        <v>2</v>
      </c>
      <c r="J111" s="54">
        <v>2</v>
      </c>
      <c r="K111" s="54">
        <v>2</v>
      </c>
      <c r="L111" s="55">
        <v>0</v>
      </c>
      <c r="M111" s="56">
        <v>0.5</v>
      </c>
      <c r="N111" s="56">
        <v>1</v>
      </c>
      <c r="O111" s="54">
        <v>0</v>
      </c>
      <c r="P111" s="55">
        <v>40</v>
      </c>
    </row>
    <row r="112" spans="2:16" x14ac:dyDescent="0.3">
      <c r="B112" s="51" t="s">
        <v>351</v>
      </c>
      <c r="C112" s="51" t="s">
        <v>13</v>
      </c>
      <c r="D112" s="53" t="s">
        <v>216</v>
      </c>
      <c r="E112" s="53" t="s">
        <v>3</v>
      </c>
      <c r="F112" s="53">
        <v>2</v>
      </c>
      <c r="G112" s="54">
        <v>8</v>
      </c>
      <c r="H112" s="54">
        <v>4</v>
      </c>
      <c r="I112" s="54">
        <v>2</v>
      </c>
      <c r="J112" s="54">
        <v>2</v>
      </c>
      <c r="K112" s="54">
        <v>6</v>
      </c>
      <c r="L112" s="55">
        <v>2</v>
      </c>
      <c r="M112" s="56">
        <v>0.25</v>
      </c>
      <c r="N112" s="56">
        <v>0.5</v>
      </c>
      <c r="O112" s="54">
        <v>120</v>
      </c>
      <c r="P112" s="55">
        <v>200</v>
      </c>
    </row>
    <row r="113" spans="2:16" x14ac:dyDescent="0.3">
      <c r="B113" s="51" t="s">
        <v>201</v>
      </c>
      <c r="C113" s="51" t="s">
        <v>13</v>
      </c>
      <c r="D113" s="53" t="s">
        <v>225</v>
      </c>
      <c r="E113" s="53" t="s">
        <v>3</v>
      </c>
      <c r="F113" s="53">
        <v>1</v>
      </c>
      <c r="G113" s="54">
        <v>4</v>
      </c>
      <c r="H113" s="54">
        <v>2</v>
      </c>
      <c r="I113" s="54">
        <v>0</v>
      </c>
      <c r="J113" s="54">
        <v>0</v>
      </c>
      <c r="K113" s="54">
        <v>4</v>
      </c>
      <c r="L113" s="55">
        <v>2</v>
      </c>
      <c r="M113" s="56">
        <v>0</v>
      </c>
      <c r="N113" s="56">
        <v>0</v>
      </c>
      <c r="O113" s="54">
        <v>0</v>
      </c>
      <c r="P113" s="55">
        <v>160</v>
      </c>
    </row>
    <row r="114" spans="2:16" x14ac:dyDescent="0.3">
      <c r="B114" s="51" t="s">
        <v>338</v>
      </c>
      <c r="C114" s="51" t="s">
        <v>9</v>
      </c>
      <c r="D114" s="53" t="s">
        <v>173</v>
      </c>
      <c r="E114" s="53" t="s">
        <v>3</v>
      </c>
      <c r="F114" s="53">
        <v>1</v>
      </c>
      <c r="G114" s="54">
        <v>4</v>
      </c>
      <c r="H114" s="54">
        <v>2</v>
      </c>
      <c r="I114" s="54">
        <v>1</v>
      </c>
      <c r="J114" s="54">
        <v>0</v>
      </c>
      <c r="K114" s="54">
        <v>3</v>
      </c>
      <c r="L114" s="55">
        <v>2</v>
      </c>
      <c r="M114" s="56">
        <v>0.25</v>
      </c>
      <c r="N114" s="56">
        <v>0</v>
      </c>
      <c r="O114" s="54">
        <v>0</v>
      </c>
      <c r="P114" s="55">
        <v>140</v>
      </c>
    </row>
    <row r="115" spans="2:16" x14ac:dyDescent="0.3">
      <c r="B115" s="51" t="s">
        <v>186</v>
      </c>
      <c r="C115" s="51" t="s">
        <v>6</v>
      </c>
      <c r="D115" s="53" t="s">
        <v>179</v>
      </c>
      <c r="E115" s="53" t="s">
        <v>10</v>
      </c>
      <c r="F115" s="53">
        <v>3</v>
      </c>
      <c r="G115" s="54">
        <v>24</v>
      </c>
      <c r="H115" s="54">
        <v>24</v>
      </c>
      <c r="I115" s="54">
        <v>13</v>
      </c>
      <c r="J115" s="54">
        <v>13</v>
      </c>
      <c r="K115" s="54">
        <v>11</v>
      </c>
      <c r="L115" s="55">
        <v>11</v>
      </c>
      <c r="M115" s="56">
        <v>0.54166666666666663</v>
      </c>
      <c r="N115" s="56">
        <v>0.54166666666666663</v>
      </c>
      <c r="O115" s="54">
        <v>600</v>
      </c>
      <c r="P115" s="55">
        <v>660</v>
      </c>
    </row>
    <row r="116" spans="2:16" x14ac:dyDescent="0.3">
      <c r="B116" s="51" t="s">
        <v>393</v>
      </c>
      <c r="C116" s="51" t="s">
        <v>36</v>
      </c>
      <c r="D116" s="53" t="s">
        <v>455</v>
      </c>
      <c r="E116" s="53" t="s">
        <v>17</v>
      </c>
      <c r="F116" s="53">
        <v>1</v>
      </c>
      <c r="G116" s="54">
        <v>6</v>
      </c>
      <c r="H116" s="54">
        <v>6</v>
      </c>
      <c r="I116" s="54">
        <v>0</v>
      </c>
      <c r="J116" s="54">
        <v>0</v>
      </c>
      <c r="K116" s="54">
        <v>6</v>
      </c>
      <c r="L116" s="55">
        <v>6</v>
      </c>
      <c r="M116" s="56">
        <v>0</v>
      </c>
      <c r="N116" s="56">
        <v>0</v>
      </c>
      <c r="O116" s="54">
        <v>0</v>
      </c>
      <c r="P116" s="55">
        <v>360</v>
      </c>
    </row>
    <row r="117" spans="2:16" x14ac:dyDescent="0.3">
      <c r="B117" s="51" t="s">
        <v>132</v>
      </c>
      <c r="C117" s="51" t="s">
        <v>133</v>
      </c>
      <c r="D117" s="53" t="s">
        <v>214</v>
      </c>
      <c r="E117" s="53" t="s">
        <v>3</v>
      </c>
      <c r="F117" s="53">
        <v>1</v>
      </c>
      <c r="G117" s="54">
        <v>4</v>
      </c>
      <c r="H117" s="54">
        <v>2</v>
      </c>
      <c r="I117" s="54">
        <v>0</v>
      </c>
      <c r="J117" s="54">
        <v>0</v>
      </c>
      <c r="K117" s="54">
        <v>4</v>
      </c>
      <c r="L117" s="55">
        <v>2</v>
      </c>
      <c r="M117" s="56">
        <v>0</v>
      </c>
      <c r="N117" s="56">
        <v>0</v>
      </c>
      <c r="O117" s="54">
        <v>0</v>
      </c>
      <c r="P117" s="55">
        <v>160</v>
      </c>
    </row>
    <row r="118" spans="2:16" x14ac:dyDescent="0.3">
      <c r="B118" s="51" t="s">
        <v>203</v>
      </c>
      <c r="C118" s="51" t="s">
        <v>13</v>
      </c>
      <c r="D118" s="53" t="s">
        <v>187</v>
      </c>
      <c r="E118" s="53" t="s">
        <v>3</v>
      </c>
      <c r="F118" s="53">
        <v>1</v>
      </c>
      <c r="G118" s="54">
        <v>4</v>
      </c>
      <c r="H118" s="54">
        <v>2</v>
      </c>
      <c r="I118" s="54">
        <v>0</v>
      </c>
      <c r="J118" s="54">
        <v>0</v>
      </c>
      <c r="K118" s="54">
        <v>4</v>
      </c>
      <c r="L118" s="55">
        <v>2</v>
      </c>
      <c r="M118" s="56">
        <v>0</v>
      </c>
      <c r="N118" s="56">
        <v>0</v>
      </c>
      <c r="O118" s="54">
        <v>0</v>
      </c>
      <c r="P118" s="55">
        <v>160</v>
      </c>
    </row>
    <row r="119" spans="2:16" x14ac:dyDescent="0.3">
      <c r="B119" s="51" t="s">
        <v>402</v>
      </c>
      <c r="C119" s="51" t="s">
        <v>13</v>
      </c>
      <c r="D119" s="53" t="s">
        <v>456</v>
      </c>
      <c r="E119" s="53" t="s">
        <v>3</v>
      </c>
      <c r="F119" s="53">
        <v>1</v>
      </c>
      <c r="G119" s="54">
        <v>4</v>
      </c>
      <c r="H119" s="54">
        <v>2</v>
      </c>
      <c r="I119" s="54">
        <v>0</v>
      </c>
      <c r="J119" s="54">
        <v>0</v>
      </c>
      <c r="K119" s="54">
        <v>4</v>
      </c>
      <c r="L119" s="55">
        <v>2</v>
      </c>
      <c r="M119" s="56">
        <v>0</v>
      </c>
      <c r="N119" s="56">
        <v>0</v>
      </c>
      <c r="O119" s="54">
        <v>0</v>
      </c>
      <c r="P119" s="55">
        <v>160</v>
      </c>
    </row>
    <row r="120" spans="2:16" x14ac:dyDescent="0.3">
      <c r="B120" s="51" t="s">
        <v>259</v>
      </c>
      <c r="C120" s="51" t="s">
        <v>2</v>
      </c>
      <c r="D120" s="53" t="s">
        <v>185</v>
      </c>
      <c r="E120" s="53" t="s">
        <v>3</v>
      </c>
      <c r="F120" s="53">
        <v>1</v>
      </c>
      <c r="G120" s="54">
        <v>4</v>
      </c>
      <c r="H120" s="54">
        <v>2</v>
      </c>
      <c r="I120" s="54">
        <v>0</v>
      </c>
      <c r="J120" s="54">
        <v>0</v>
      </c>
      <c r="K120" s="54">
        <v>4</v>
      </c>
      <c r="L120" s="55">
        <v>2</v>
      </c>
      <c r="M120" s="56">
        <v>0</v>
      </c>
      <c r="N120" s="56">
        <v>0</v>
      </c>
      <c r="O120" s="54">
        <v>0</v>
      </c>
      <c r="P120" s="55">
        <v>160</v>
      </c>
    </row>
    <row r="121" spans="2:16" x14ac:dyDescent="0.3">
      <c r="B121" s="51" t="s">
        <v>139</v>
      </c>
      <c r="C121" s="51" t="s">
        <v>9</v>
      </c>
      <c r="D121" s="53" t="s">
        <v>166</v>
      </c>
      <c r="E121" s="53" t="s">
        <v>3</v>
      </c>
      <c r="F121" s="53">
        <v>1</v>
      </c>
      <c r="G121" s="54">
        <v>4</v>
      </c>
      <c r="H121" s="54">
        <v>2</v>
      </c>
      <c r="I121" s="54">
        <v>0</v>
      </c>
      <c r="J121" s="54">
        <v>0</v>
      </c>
      <c r="K121" s="54">
        <v>4</v>
      </c>
      <c r="L121" s="55">
        <v>2</v>
      </c>
      <c r="M121" s="56">
        <v>0</v>
      </c>
      <c r="N121" s="56">
        <v>0</v>
      </c>
      <c r="O121" s="54">
        <v>0</v>
      </c>
      <c r="P121" s="55">
        <v>160</v>
      </c>
    </row>
    <row r="122" spans="2:16" x14ac:dyDescent="0.3">
      <c r="B122" s="51" t="s">
        <v>192</v>
      </c>
      <c r="C122" s="51" t="s">
        <v>6</v>
      </c>
      <c r="D122" s="53" t="s">
        <v>204</v>
      </c>
      <c r="E122" s="53" t="s">
        <v>3</v>
      </c>
      <c r="F122" s="53">
        <v>1</v>
      </c>
      <c r="G122" s="54">
        <v>4</v>
      </c>
      <c r="H122" s="54">
        <v>2</v>
      </c>
      <c r="I122" s="54">
        <v>0</v>
      </c>
      <c r="J122" s="54">
        <v>0</v>
      </c>
      <c r="K122" s="54">
        <v>4</v>
      </c>
      <c r="L122" s="55">
        <v>2</v>
      </c>
      <c r="M122" s="56">
        <v>0</v>
      </c>
      <c r="N122" s="56">
        <v>0</v>
      </c>
      <c r="O122" s="54">
        <v>0</v>
      </c>
      <c r="P122" s="55">
        <v>160</v>
      </c>
    </row>
    <row r="123" spans="2:16" x14ac:dyDescent="0.3">
      <c r="B123" s="51" t="s">
        <v>29</v>
      </c>
      <c r="C123" s="51" t="s">
        <v>13</v>
      </c>
      <c r="D123" s="53" t="s">
        <v>210</v>
      </c>
      <c r="E123" s="53" t="s">
        <v>3</v>
      </c>
      <c r="F123" s="53">
        <v>2</v>
      </c>
      <c r="G123" s="54">
        <v>8</v>
      </c>
      <c r="H123" s="54">
        <v>4</v>
      </c>
      <c r="I123" s="54">
        <v>0</v>
      </c>
      <c r="J123" s="54">
        <v>0</v>
      </c>
      <c r="K123" s="54">
        <v>8</v>
      </c>
      <c r="L123" s="55">
        <v>4</v>
      </c>
      <c r="M123" s="56">
        <v>0</v>
      </c>
      <c r="N123" s="56">
        <v>0</v>
      </c>
      <c r="O123" s="54">
        <v>0</v>
      </c>
      <c r="P123" s="55">
        <v>320</v>
      </c>
    </row>
    <row r="124" spans="2:16" x14ac:dyDescent="0.3">
      <c r="B124" s="51" t="s">
        <v>390</v>
      </c>
      <c r="C124" s="51" t="s">
        <v>36</v>
      </c>
      <c r="D124" s="53" t="s">
        <v>457</v>
      </c>
      <c r="E124" s="53" t="s">
        <v>3</v>
      </c>
      <c r="F124" s="53">
        <v>1</v>
      </c>
      <c r="G124" s="54">
        <v>4</v>
      </c>
      <c r="H124" s="54">
        <v>2</v>
      </c>
      <c r="I124" s="54">
        <v>0</v>
      </c>
      <c r="J124" s="54">
        <v>0</v>
      </c>
      <c r="K124" s="54">
        <v>4</v>
      </c>
      <c r="L124" s="55">
        <v>2</v>
      </c>
      <c r="M124" s="56">
        <v>0</v>
      </c>
      <c r="N124" s="56">
        <v>0</v>
      </c>
      <c r="O124" s="54">
        <v>0</v>
      </c>
      <c r="P124" s="55">
        <v>160</v>
      </c>
    </row>
    <row r="125" spans="2:16" x14ac:dyDescent="0.3">
      <c r="B125" s="51" t="s">
        <v>313</v>
      </c>
      <c r="C125" s="51" t="s">
        <v>170</v>
      </c>
      <c r="D125" s="53" t="s">
        <v>220</v>
      </c>
      <c r="E125" s="53" t="s">
        <v>3</v>
      </c>
      <c r="F125" s="53">
        <v>1</v>
      </c>
      <c r="G125" s="54">
        <v>4</v>
      </c>
      <c r="H125" s="54">
        <v>2</v>
      </c>
      <c r="I125" s="54">
        <v>0</v>
      </c>
      <c r="J125" s="54">
        <v>0</v>
      </c>
      <c r="K125" s="54">
        <v>4</v>
      </c>
      <c r="L125" s="55">
        <v>2</v>
      </c>
      <c r="M125" s="56">
        <v>0</v>
      </c>
      <c r="N125" s="56">
        <v>0</v>
      </c>
      <c r="O125" s="54">
        <v>0</v>
      </c>
      <c r="P125" s="55">
        <v>160</v>
      </c>
    </row>
    <row r="126" spans="2:16" x14ac:dyDescent="0.3">
      <c r="B126" s="51" t="s">
        <v>198</v>
      </c>
      <c r="C126" s="51" t="s">
        <v>6</v>
      </c>
      <c r="D126" s="53" t="s">
        <v>156</v>
      </c>
      <c r="E126" s="53" t="s">
        <v>3</v>
      </c>
      <c r="F126" s="53">
        <v>1</v>
      </c>
      <c r="G126" s="54">
        <v>4</v>
      </c>
      <c r="H126" s="54">
        <v>2</v>
      </c>
      <c r="I126" s="54">
        <v>3</v>
      </c>
      <c r="J126" s="54">
        <v>0</v>
      </c>
      <c r="K126" s="54">
        <v>1</v>
      </c>
      <c r="L126" s="55">
        <v>2</v>
      </c>
      <c r="M126" s="56">
        <v>0.75</v>
      </c>
      <c r="N126" s="56">
        <v>0</v>
      </c>
      <c r="O126" s="54">
        <v>0</v>
      </c>
      <c r="P126" s="55">
        <v>100</v>
      </c>
    </row>
    <row r="127" spans="2:16" x14ac:dyDescent="0.3">
      <c r="B127" s="51" t="s">
        <v>394</v>
      </c>
      <c r="C127" s="51" t="s">
        <v>2</v>
      </c>
      <c r="D127" s="53" t="s">
        <v>458</v>
      </c>
      <c r="E127" s="53" t="s">
        <v>10</v>
      </c>
      <c r="F127" s="53">
        <v>1</v>
      </c>
      <c r="G127" s="54">
        <v>8</v>
      </c>
      <c r="H127" s="54">
        <v>8</v>
      </c>
      <c r="I127" s="54">
        <v>0</v>
      </c>
      <c r="J127" s="54">
        <v>0</v>
      </c>
      <c r="K127" s="54">
        <v>8</v>
      </c>
      <c r="L127" s="55">
        <v>8</v>
      </c>
      <c r="M127" s="56">
        <v>0</v>
      </c>
      <c r="N127" s="56">
        <v>0</v>
      </c>
      <c r="O127" s="54">
        <v>0</v>
      </c>
      <c r="P127" s="55">
        <v>480</v>
      </c>
    </row>
    <row r="128" spans="2:16" x14ac:dyDescent="0.3">
      <c r="B128" s="51" t="s">
        <v>172</v>
      </c>
      <c r="C128" s="51" t="s">
        <v>2</v>
      </c>
      <c r="D128" s="53" t="s">
        <v>212</v>
      </c>
      <c r="E128" s="53" t="s">
        <v>10</v>
      </c>
      <c r="F128" s="53">
        <v>2</v>
      </c>
      <c r="G128" s="54">
        <v>16</v>
      </c>
      <c r="H128" s="54">
        <v>16</v>
      </c>
      <c r="I128" s="54">
        <v>0</v>
      </c>
      <c r="J128" s="54">
        <v>0</v>
      </c>
      <c r="K128" s="54">
        <v>16</v>
      </c>
      <c r="L128" s="55">
        <v>16</v>
      </c>
      <c r="M128" s="56">
        <v>0</v>
      </c>
      <c r="N128" s="56">
        <v>0</v>
      </c>
      <c r="O128" s="54">
        <v>0</v>
      </c>
      <c r="P128" s="55">
        <v>960</v>
      </c>
    </row>
    <row r="129" spans="2:16" x14ac:dyDescent="0.3">
      <c r="B129" s="51" t="s">
        <v>56</v>
      </c>
      <c r="C129" s="51" t="s">
        <v>2</v>
      </c>
      <c r="D129" s="53" t="s">
        <v>264</v>
      </c>
      <c r="E129" s="53" t="s">
        <v>17</v>
      </c>
      <c r="F129" s="53">
        <v>1</v>
      </c>
      <c r="G129" s="54">
        <v>6</v>
      </c>
      <c r="H129" s="54">
        <v>6</v>
      </c>
      <c r="I129" s="54">
        <v>0</v>
      </c>
      <c r="J129" s="54">
        <v>0</v>
      </c>
      <c r="K129" s="54">
        <v>6</v>
      </c>
      <c r="L129" s="55">
        <v>6</v>
      </c>
      <c r="M129" s="56">
        <v>0</v>
      </c>
      <c r="N129" s="56">
        <v>0</v>
      </c>
      <c r="O129" s="54">
        <v>0</v>
      </c>
      <c r="P129" s="55">
        <v>360</v>
      </c>
    </row>
    <row r="130" spans="2:16" x14ac:dyDescent="0.3">
      <c r="B130" s="51" t="s">
        <v>381</v>
      </c>
      <c r="C130" s="51" t="s">
        <v>2</v>
      </c>
      <c r="D130" s="53" t="s">
        <v>459</v>
      </c>
      <c r="E130" s="53" t="s">
        <v>10</v>
      </c>
      <c r="F130" s="53">
        <v>1</v>
      </c>
      <c r="G130" s="54">
        <v>8</v>
      </c>
      <c r="H130" s="54">
        <v>8</v>
      </c>
      <c r="I130" s="54">
        <v>0</v>
      </c>
      <c r="J130" s="54">
        <v>0</v>
      </c>
      <c r="K130" s="54">
        <v>8</v>
      </c>
      <c r="L130" s="55">
        <v>8</v>
      </c>
      <c r="M130" s="56">
        <v>0</v>
      </c>
      <c r="N130" s="56">
        <v>0</v>
      </c>
      <c r="O130" s="54">
        <v>0</v>
      </c>
      <c r="P130" s="55">
        <v>480</v>
      </c>
    </row>
    <row r="131" spans="2:16" x14ac:dyDescent="0.3">
      <c r="B131" s="51" t="s">
        <v>315</v>
      </c>
      <c r="C131" s="51" t="s">
        <v>2</v>
      </c>
      <c r="D131" s="53" t="s">
        <v>252</v>
      </c>
      <c r="E131" s="53" t="s">
        <v>3</v>
      </c>
      <c r="F131" s="53">
        <v>1</v>
      </c>
      <c r="G131" s="54">
        <v>4</v>
      </c>
      <c r="H131" s="54">
        <v>2</v>
      </c>
      <c r="I131" s="54">
        <v>0</v>
      </c>
      <c r="J131" s="54">
        <v>0</v>
      </c>
      <c r="K131" s="54">
        <v>4</v>
      </c>
      <c r="L131" s="55">
        <v>2</v>
      </c>
      <c r="M131" s="56">
        <v>0</v>
      </c>
      <c r="N131" s="56">
        <v>0</v>
      </c>
      <c r="O131" s="54">
        <v>0</v>
      </c>
      <c r="P131" s="55">
        <v>160</v>
      </c>
    </row>
    <row r="132" spans="2:16" x14ac:dyDescent="0.3">
      <c r="B132" s="51" t="s">
        <v>58</v>
      </c>
      <c r="C132" s="51" t="s">
        <v>2</v>
      </c>
      <c r="D132" s="53" t="s">
        <v>294</v>
      </c>
      <c r="E132" s="53" t="s">
        <v>10</v>
      </c>
      <c r="F132" s="53">
        <v>1</v>
      </c>
      <c r="G132" s="54">
        <v>8</v>
      </c>
      <c r="H132" s="54">
        <v>8</v>
      </c>
      <c r="I132" s="54">
        <v>4</v>
      </c>
      <c r="J132" s="54">
        <v>8</v>
      </c>
      <c r="K132" s="54">
        <v>4</v>
      </c>
      <c r="L132" s="55">
        <v>0</v>
      </c>
      <c r="M132" s="56">
        <v>0.5</v>
      </c>
      <c r="N132" s="56">
        <v>1</v>
      </c>
      <c r="O132" s="54">
        <v>363</v>
      </c>
      <c r="P132" s="55">
        <v>80</v>
      </c>
    </row>
    <row r="133" spans="2:16" x14ac:dyDescent="0.3">
      <c r="B133" s="51" t="s">
        <v>190</v>
      </c>
      <c r="C133" s="51" t="s">
        <v>2</v>
      </c>
      <c r="D133" s="53" t="s">
        <v>278</v>
      </c>
      <c r="E133" s="53" t="s">
        <v>10</v>
      </c>
      <c r="F133" s="53">
        <v>1</v>
      </c>
      <c r="G133" s="54">
        <v>8</v>
      </c>
      <c r="H133" s="54">
        <v>8</v>
      </c>
      <c r="I133" s="54">
        <v>4</v>
      </c>
      <c r="J133" s="54">
        <v>2</v>
      </c>
      <c r="K133" s="54">
        <v>4</v>
      </c>
      <c r="L133" s="55">
        <v>6</v>
      </c>
      <c r="M133" s="56">
        <v>0.5</v>
      </c>
      <c r="N133" s="56">
        <v>0.25</v>
      </c>
      <c r="O133" s="54">
        <v>160</v>
      </c>
      <c r="P133" s="55">
        <v>320</v>
      </c>
    </row>
    <row r="134" spans="2:16" x14ac:dyDescent="0.3">
      <c r="B134" s="51" t="s">
        <v>211</v>
      </c>
      <c r="C134" s="51" t="s">
        <v>2</v>
      </c>
      <c r="D134" s="53" t="s">
        <v>296</v>
      </c>
      <c r="E134" s="53" t="s">
        <v>3</v>
      </c>
      <c r="F134" s="53">
        <v>1</v>
      </c>
      <c r="G134" s="54">
        <v>4</v>
      </c>
      <c r="H134" s="54">
        <v>2</v>
      </c>
      <c r="I134" s="54">
        <v>0</v>
      </c>
      <c r="J134" s="54">
        <v>0</v>
      </c>
      <c r="K134" s="54">
        <v>4</v>
      </c>
      <c r="L134" s="55">
        <v>2</v>
      </c>
      <c r="M134" s="56">
        <v>0</v>
      </c>
      <c r="N134" s="56">
        <v>0</v>
      </c>
      <c r="O134" s="54">
        <v>0</v>
      </c>
      <c r="P134" s="55">
        <v>160</v>
      </c>
    </row>
    <row r="135" spans="2:16" x14ac:dyDescent="0.3">
      <c r="B135" s="51" t="s">
        <v>223</v>
      </c>
      <c r="C135" s="51" t="s">
        <v>2</v>
      </c>
      <c r="D135" s="53" t="s">
        <v>284</v>
      </c>
      <c r="E135" s="53" t="s">
        <v>3</v>
      </c>
      <c r="F135" s="53">
        <v>1</v>
      </c>
      <c r="G135" s="54">
        <v>4</v>
      </c>
      <c r="H135" s="54">
        <v>2</v>
      </c>
      <c r="I135" s="54">
        <v>0</v>
      </c>
      <c r="J135" s="54">
        <v>0</v>
      </c>
      <c r="K135" s="54">
        <v>4</v>
      </c>
      <c r="L135" s="55">
        <v>2</v>
      </c>
      <c r="M135" s="56">
        <v>0</v>
      </c>
      <c r="N135" s="56">
        <v>0</v>
      </c>
      <c r="O135" s="54">
        <v>0</v>
      </c>
      <c r="P135" s="55">
        <v>160</v>
      </c>
    </row>
    <row r="136" spans="2:16" x14ac:dyDescent="0.3">
      <c r="B136" s="51" t="s">
        <v>309</v>
      </c>
      <c r="C136" s="51" t="s">
        <v>2</v>
      </c>
      <c r="D136" s="53" t="s">
        <v>254</v>
      </c>
      <c r="E136" s="53" t="s">
        <v>3</v>
      </c>
      <c r="F136" s="53">
        <v>1</v>
      </c>
      <c r="G136" s="54">
        <v>4</v>
      </c>
      <c r="H136" s="54">
        <v>2</v>
      </c>
      <c r="I136" s="54">
        <v>0</v>
      </c>
      <c r="J136" s="54">
        <v>0</v>
      </c>
      <c r="K136" s="54">
        <v>4</v>
      </c>
      <c r="L136" s="55">
        <v>2</v>
      </c>
      <c r="M136" s="56">
        <v>0</v>
      </c>
      <c r="N136" s="56">
        <v>0</v>
      </c>
      <c r="O136" s="54">
        <v>0</v>
      </c>
      <c r="P136" s="55">
        <v>160</v>
      </c>
    </row>
    <row r="137" spans="2:16" x14ac:dyDescent="0.3">
      <c r="B137" s="51" t="s">
        <v>406</v>
      </c>
      <c r="C137" s="51" t="s">
        <v>2</v>
      </c>
      <c r="D137" s="53" t="s">
        <v>460</v>
      </c>
      <c r="E137" s="53" t="s">
        <v>10</v>
      </c>
      <c r="F137" s="53">
        <v>1</v>
      </c>
      <c r="G137" s="54">
        <v>8</v>
      </c>
      <c r="H137" s="54">
        <v>8</v>
      </c>
      <c r="I137" s="54">
        <v>0</v>
      </c>
      <c r="J137" s="54">
        <v>0</v>
      </c>
      <c r="K137" s="54">
        <v>8</v>
      </c>
      <c r="L137" s="55">
        <v>8</v>
      </c>
      <c r="M137" s="56">
        <v>0</v>
      </c>
      <c r="N137" s="56">
        <v>0</v>
      </c>
      <c r="O137" s="54">
        <v>0</v>
      </c>
      <c r="P137" s="55">
        <v>480</v>
      </c>
    </row>
    <row r="138" spans="2:16" x14ac:dyDescent="0.3">
      <c r="B138" s="51" t="s">
        <v>319</v>
      </c>
      <c r="C138" s="51" t="s">
        <v>2</v>
      </c>
      <c r="D138" s="53" t="s">
        <v>246</v>
      </c>
      <c r="E138" s="53" t="s">
        <v>3</v>
      </c>
      <c r="F138" s="53">
        <v>1</v>
      </c>
      <c r="G138" s="54">
        <v>4</v>
      </c>
      <c r="H138" s="54">
        <v>2</v>
      </c>
      <c r="I138" s="54">
        <v>0</v>
      </c>
      <c r="J138" s="54">
        <v>1</v>
      </c>
      <c r="K138" s="54">
        <v>4</v>
      </c>
      <c r="L138" s="55">
        <v>1</v>
      </c>
      <c r="M138" s="56">
        <v>0</v>
      </c>
      <c r="N138" s="56">
        <v>0.5</v>
      </c>
      <c r="O138" s="54">
        <v>40</v>
      </c>
      <c r="P138" s="55">
        <v>120</v>
      </c>
    </row>
    <row r="139" spans="2:16" x14ac:dyDescent="0.3">
      <c r="B139" s="51" t="s">
        <v>165</v>
      </c>
      <c r="C139" s="51" t="s">
        <v>2</v>
      </c>
      <c r="D139" s="53" t="s">
        <v>280</v>
      </c>
      <c r="E139" s="53" t="s">
        <v>3</v>
      </c>
      <c r="F139" s="53">
        <v>1</v>
      </c>
      <c r="G139" s="54">
        <v>4</v>
      </c>
      <c r="H139" s="54">
        <v>2</v>
      </c>
      <c r="I139" s="54">
        <v>0</v>
      </c>
      <c r="J139" s="54">
        <v>0</v>
      </c>
      <c r="K139" s="54">
        <v>4</v>
      </c>
      <c r="L139" s="55">
        <v>2</v>
      </c>
      <c r="M139" s="56">
        <v>0</v>
      </c>
      <c r="N139" s="56">
        <v>0</v>
      </c>
      <c r="O139" s="54">
        <v>0</v>
      </c>
      <c r="P139" s="55">
        <v>160</v>
      </c>
    </row>
    <row r="140" spans="2:16" x14ac:dyDescent="0.3">
      <c r="B140" s="51" t="s">
        <v>163</v>
      </c>
      <c r="C140" s="51" t="s">
        <v>2</v>
      </c>
      <c r="D140" s="53" t="s">
        <v>258</v>
      </c>
      <c r="E140" s="53" t="s">
        <v>3</v>
      </c>
      <c r="F140" s="53">
        <v>2</v>
      </c>
      <c r="G140" s="54">
        <v>8</v>
      </c>
      <c r="H140" s="54">
        <v>4</v>
      </c>
      <c r="I140" s="54">
        <v>2</v>
      </c>
      <c r="J140" s="54">
        <v>2</v>
      </c>
      <c r="K140" s="54">
        <v>6</v>
      </c>
      <c r="L140" s="55">
        <v>2</v>
      </c>
      <c r="M140" s="56">
        <v>0.25</v>
      </c>
      <c r="N140" s="56">
        <v>0.5</v>
      </c>
      <c r="O140" s="54">
        <v>80</v>
      </c>
      <c r="P140" s="55">
        <v>200</v>
      </c>
    </row>
    <row r="141" spans="2:16" x14ac:dyDescent="0.3">
      <c r="B141" s="51" t="s">
        <v>27</v>
      </c>
      <c r="C141" s="51" t="s">
        <v>13</v>
      </c>
      <c r="D141" s="53" t="s">
        <v>286</v>
      </c>
      <c r="E141" s="53" t="s">
        <v>10</v>
      </c>
      <c r="F141" s="53">
        <v>3</v>
      </c>
      <c r="G141" s="54">
        <v>24</v>
      </c>
      <c r="H141" s="54">
        <v>24</v>
      </c>
      <c r="I141" s="54">
        <v>7</v>
      </c>
      <c r="J141" s="54">
        <v>14</v>
      </c>
      <c r="K141" s="54">
        <v>17</v>
      </c>
      <c r="L141" s="55">
        <v>10</v>
      </c>
      <c r="M141" s="56">
        <v>0.29166666666666669</v>
      </c>
      <c r="N141" s="56">
        <v>0.58333333333333337</v>
      </c>
      <c r="O141" s="54">
        <v>600</v>
      </c>
      <c r="P141" s="55">
        <v>740</v>
      </c>
    </row>
    <row r="142" spans="2:16" x14ac:dyDescent="0.3">
      <c r="B142" s="51" t="s">
        <v>39</v>
      </c>
      <c r="C142" s="51" t="s">
        <v>13</v>
      </c>
      <c r="D142" s="53" t="s">
        <v>298</v>
      </c>
      <c r="E142" s="53" t="s">
        <v>3</v>
      </c>
      <c r="F142" s="53">
        <v>2</v>
      </c>
      <c r="G142" s="54">
        <v>8</v>
      </c>
      <c r="H142" s="54">
        <v>4</v>
      </c>
      <c r="I142" s="54">
        <v>2</v>
      </c>
      <c r="J142" s="54">
        <v>0</v>
      </c>
      <c r="K142" s="54">
        <v>6</v>
      </c>
      <c r="L142" s="55">
        <v>4</v>
      </c>
      <c r="M142" s="56">
        <v>0.25</v>
      </c>
      <c r="N142" s="56">
        <v>0</v>
      </c>
      <c r="O142" s="54">
        <v>0</v>
      </c>
      <c r="P142" s="77">
        <v>280</v>
      </c>
    </row>
    <row r="143" spans="2:16" x14ac:dyDescent="0.3">
      <c r="B143" s="51" t="s">
        <v>321</v>
      </c>
      <c r="C143" s="51" t="s">
        <v>6</v>
      </c>
      <c r="D143" s="53" t="s">
        <v>242</v>
      </c>
      <c r="E143" s="53" t="s">
        <v>3</v>
      </c>
      <c r="F143" s="53">
        <v>1</v>
      </c>
      <c r="G143" s="54">
        <v>4</v>
      </c>
      <c r="H143" s="54">
        <v>2</v>
      </c>
      <c r="I143" s="54">
        <v>0</v>
      </c>
      <c r="J143" s="54">
        <v>0</v>
      </c>
      <c r="K143" s="54">
        <v>4</v>
      </c>
      <c r="L143" s="55">
        <v>2</v>
      </c>
      <c r="M143" s="56">
        <v>0</v>
      </c>
      <c r="N143" s="56">
        <v>0</v>
      </c>
      <c r="O143" s="54">
        <v>0</v>
      </c>
      <c r="P143" s="55">
        <v>160</v>
      </c>
    </row>
    <row r="144" spans="2:16" x14ac:dyDescent="0.3">
      <c r="B144" s="51" t="s">
        <v>96</v>
      </c>
      <c r="C144" s="51" t="s">
        <v>6</v>
      </c>
      <c r="D144" s="53" t="s">
        <v>288</v>
      </c>
      <c r="E144" s="53" t="s">
        <v>10</v>
      </c>
      <c r="F144" s="53">
        <v>2</v>
      </c>
      <c r="G144" s="54">
        <v>16</v>
      </c>
      <c r="H144" s="54">
        <v>16</v>
      </c>
      <c r="I144" s="54">
        <v>12</v>
      </c>
      <c r="J144" s="54">
        <v>8</v>
      </c>
      <c r="K144" s="54">
        <v>4</v>
      </c>
      <c r="L144" s="55">
        <v>8</v>
      </c>
      <c r="M144" s="56">
        <v>0.75</v>
      </c>
      <c r="N144" s="56">
        <v>0.5</v>
      </c>
      <c r="O144" s="54">
        <v>160</v>
      </c>
      <c r="P144" s="55">
        <v>400</v>
      </c>
    </row>
    <row r="145" spans="2:16" x14ac:dyDescent="0.3">
      <c r="B145" s="51" t="s">
        <v>323</v>
      </c>
      <c r="C145" s="51" t="s">
        <v>6</v>
      </c>
      <c r="D145" s="53" t="s">
        <v>290</v>
      </c>
      <c r="E145" s="53" t="s">
        <v>3</v>
      </c>
      <c r="F145" s="53">
        <v>1</v>
      </c>
      <c r="G145" s="54">
        <v>4</v>
      </c>
      <c r="H145" s="54">
        <v>2</v>
      </c>
      <c r="I145" s="54">
        <v>0</v>
      </c>
      <c r="J145" s="54">
        <v>0</v>
      </c>
      <c r="K145" s="54">
        <v>4</v>
      </c>
      <c r="L145" s="55">
        <v>2</v>
      </c>
      <c r="M145" s="56">
        <v>0</v>
      </c>
      <c r="N145" s="56">
        <v>0</v>
      </c>
      <c r="O145" s="54">
        <v>0</v>
      </c>
      <c r="P145" s="55">
        <v>160</v>
      </c>
    </row>
    <row r="146" spans="2:16" x14ac:dyDescent="0.3">
      <c r="B146" s="51" t="s">
        <v>363</v>
      </c>
      <c r="C146" s="51" t="s">
        <v>6</v>
      </c>
      <c r="D146" s="53" t="s">
        <v>244</v>
      </c>
      <c r="E146" s="53" t="s">
        <v>3</v>
      </c>
      <c r="F146" s="53">
        <v>1</v>
      </c>
      <c r="G146" s="54">
        <v>4</v>
      </c>
      <c r="H146" s="54">
        <v>2</v>
      </c>
      <c r="I146" s="54">
        <v>0</v>
      </c>
      <c r="J146" s="54">
        <v>0</v>
      </c>
      <c r="K146" s="54">
        <v>4</v>
      </c>
      <c r="L146" s="55">
        <v>2</v>
      </c>
      <c r="M146" s="56">
        <v>0</v>
      </c>
      <c r="N146" s="56">
        <v>0</v>
      </c>
      <c r="O146" s="54">
        <v>0</v>
      </c>
      <c r="P146" s="55">
        <v>160</v>
      </c>
    </row>
    <row r="147" spans="2:16" x14ac:dyDescent="0.3">
      <c r="B147" s="51" t="s">
        <v>324</v>
      </c>
      <c r="C147" s="51" t="s">
        <v>6</v>
      </c>
      <c r="D147" s="53" t="s">
        <v>238</v>
      </c>
      <c r="E147" s="53" t="s">
        <v>3</v>
      </c>
      <c r="F147" s="53">
        <v>1</v>
      </c>
      <c r="G147" s="54">
        <v>4</v>
      </c>
      <c r="H147" s="54">
        <v>2</v>
      </c>
      <c r="I147" s="54">
        <v>0</v>
      </c>
      <c r="J147" s="54">
        <v>0</v>
      </c>
      <c r="K147" s="54">
        <v>4</v>
      </c>
      <c r="L147" s="55">
        <v>2</v>
      </c>
      <c r="M147" s="56">
        <v>0</v>
      </c>
      <c r="N147" s="56">
        <v>0</v>
      </c>
      <c r="O147" s="54">
        <v>0</v>
      </c>
      <c r="P147" s="55">
        <v>160</v>
      </c>
    </row>
    <row r="148" spans="2:16" x14ac:dyDescent="0.3">
      <c r="B148" s="51" t="s">
        <v>257</v>
      </c>
      <c r="C148" s="51" t="s">
        <v>70</v>
      </c>
      <c r="D148" s="53" t="s">
        <v>272</v>
      </c>
      <c r="E148" s="53" t="s">
        <v>10</v>
      </c>
      <c r="F148" s="53">
        <v>1</v>
      </c>
      <c r="G148" s="54">
        <v>8</v>
      </c>
      <c r="H148" s="54">
        <v>8</v>
      </c>
      <c r="I148" s="54">
        <v>1</v>
      </c>
      <c r="J148" s="54">
        <v>1</v>
      </c>
      <c r="K148" s="54">
        <v>7</v>
      </c>
      <c r="L148" s="55">
        <v>7</v>
      </c>
      <c r="M148" s="56">
        <v>0.125</v>
      </c>
      <c r="N148" s="56">
        <v>0.125</v>
      </c>
      <c r="O148" s="54">
        <v>60</v>
      </c>
      <c r="P148" s="55">
        <v>420</v>
      </c>
    </row>
    <row r="149" spans="2:16" x14ac:dyDescent="0.3">
      <c r="B149" s="51" t="s">
        <v>130</v>
      </c>
      <c r="C149" s="51" t="s">
        <v>70</v>
      </c>
      <c r="D149" s="53" t="s">
        <v>255</v>
      </c>
      <c r="E149" s="53" t="s">
        <v>3</v>
      </c>
      <c r="F149" s="53">
        <v>1</v>
      </c>
      <c r="G149" s="54">
        <v>4</v>
      </c>
      <c r="H149" s="54">
        <v>2</v>
      </c>
      <c r="I149" s="54">
        <v>0</v>
      </c>
      <c r="J149" s="54">
        <v>0</v>
      </c>
      <c r="K149" s="54">
        <v>4</v>
      </c>
      <c r="L149" s="55">
        <v>2</v>
      </c>
      <c r="M149" s="56">
        <v>0</v>
      </c>
      <c r="N149" s="56">
        <v>0</v>
      </c>
      <c r="O149" s="54">
        <v>0</v>
      </c>
      <c r="P149" s="55">
        <v>160</v>
      </c>
    </row>
    <row r="150" spans="2:16" x14ac:dyDescent="0.3">
      <c r="B150" s="51" t="s">
        <v>249</v>
      </c>
      <c r="C150" s="51" t="s">
        <v>70</v>
      </c>
      <c r="D150" s="53" t="s">
        <v>299</v>
      </c>
      <c r="E150" s="53" t="s">
        <v>3</v>
      </c>
      <c r="F150" s="53">
        <v>1</v>
      </c>
      <c r="G150" s="54">
        <v>4</v>
      </c>
      <c r="H150" s="54">
        <v>2</v>
      </c>
      <c r="I150" s="54">
        <v>2</v>
      </c>
      <c r="J150" s="54">
        <v>1</v>
      </c>
      <c r="K150" s="54">
        <v>2</v>
      </c>
      <c r="L150" s="55">
        <v>1</v>
      </c>
      <c r="M150" s="56">
        <v>0.5</v>
      </c>
      <c r="N150" s="56">
        <v>0.5</v>
      </c>
      <c r="O150" s="54">
        <v>56</v>
      </c>
      <c r="P150" s="55">
        <v>80</v>
      </c>
    </row>
    <row r="151" spans="2:16" x14ac:dyDescent="0.3">
      <c r="B151" s="51" t="s">
        <v>386</v>
      </c>
      <c r="C151" s="51" t="s">
        <v>9</v>
      </c>
      <c r="D151" s="53" t="s">
        <v>461</v>
      </c>
      <c r="E151" s="53" t="s">
        <v>3</v>
      </c>
      <c r="F151" s="53">
        <v>1</v>
      </c>
      <c r="G151" s="54">
        <v>4</v>
      </c>
      <c r="H151" s="54">
        <v>2</v>
      </c>
      <c r="I151" s="54">
        <v>0</v>
      </c>
      <c r="J151" s="54">
        <v>0</v>
      </c>
      <c r="K151" s="54">
        <v>4</v>
      </c>
      <c r="L151" s="55">
        <v>2</v>
      </c>
      <c r="M151" s="56">
        <v>0</v>
      </c>
      <c r="N151" s="56">
        <v>0</v>
      </c>
      <c r="O151" s="54">
        <v>0</v>
      </c>
      <c r="P151" s="55">
        <v>160</v>
      </c>
    </row>
    <row r="152" spans="2:16" x14ac:dyDescent="0.3">
      <c r="B152" s="51" t="s">
        <v>64</v>
      </c>
      <c r="C152" s="51" t="s">
        <v>6</v>
      </c>
      <c r="D152" s="53" t="s">
        <v>262</v>
      </c>
      <c r="E152" s="53" t="s">
        <v>3</v>
      </c>
      <c r="F152" s="53">
        <v>2</v>
      </c>
      <c r="G152" s="54">
        <v>8</v>
      </c>
      <c r="H152" s="54">
        <v>4</v>
      </c>
      <c r="I152" s="54">
        <v>2</v>
      </c>
      <c r="J152" s="54">
        <v>0</v>
      </c>
      <c r="K152" s="54">
        <v>6</v>
      </c>
      <c r="L152" s="54">
        <v>4</v>
      </c>
      <c r="M152" s="56">
        <v>0.25</v>
      </c>
      <c r="N152" s="56">
        <v>0</v>
      </c>
      <c r="O152" s="54">
        <v>0</v>
      </c>
      <c r="P152" s="55">
        <v>280</v>
      </c>
    </row>
    <row r="153" spans="2:16" x14ac:dyDescent="0.3">
      <c r="B153" s="51" t="s">
        <v>229</v>
      </c>
      <c r="C153" s="51" t="s">
        <v>133</v>
      </c>
      <c r="D153" s="53" t="s">
        <v>282</v>
      </c>
      <c r="E153" s="53" t="s">
        <v>10</v>
      </c>
      <c r="F153" s="53">
        <v>2</v>
      </c>
      <c r="G153" s="54">
        <v>16</v>
      </c>
      <c r="H153" s="54">
        <v>16</v>
      </c>
      <c r="I153" s="54">
        <v>8</v>
      </c>
      <c r="J153" s="54">
        <v>8</v>
      </c>
      <c r="K153" s="54">
        <v>8</v>
      </c>
      <c r="L153" s="55">
        <v>8</v>
      </c>
      <c r="M153" s="56">
        <v>0.5</v>
      </c>
      <c r="N153" s="56">
        <v>0.5</v>
      </c>
      <c r="O153" s="54">
        <v>400</v>
      </c>
      <c r="P153" s="55">
        <v>480</v>
      </c>
    </row>
    <row r="154" spans="2:16" x14ac:dyDescent="0.3">
      <c r="B154" s="51" t="s">
        <v>1</v>
      </c>
      <c r="C154" s="51" t="s">
        <v>2</v>
      </c>
      <c r="D154" s="53" t="s">
        <v>240</v>
      </c>
      <c r="E154" s="53" t="s">
        <v>3</v>
      </c>
      <c r="F154" s="53">
        <v>1</v>
      </c>
      <c r="G154" s="54">
        <v>4</v>
      </c>
      <c r="H154" s="54">
        <v>2</v>
      </c>
      <c r="I154" s="54">
        <v>2</v>
      </c>
      <c r="J154" s="54">
        <v>0</v>
      </c>
      <c r="K154" s="54">
        <v>2</v>
      </c>
      <c r="L154" s="55">
        <v>2</v>
      </c>
      <c r="M154" s="56">
        <v>0.5</v>
      </c>
      <c r="N154" s="56">
        <v>0</v>
      </c>
      <c r="O154" s="54">
        <v>0</v>
      </c>
      <c r="P154" s="55">
        <v>120</v>
      </c>
    </row>
    <row r="155" spans="2:16" x14ac:dyDescent="0.3">
      <c r="B155" s="51" t="s">
        <v>243</v>
      </c>
      <c r="C155" s="51" t="s">
        <v>2</v>
      </c>
      <c r="D155" s="53" t="s">
        <v>266</v>
      </c>
      <c r="E155" s="53" t="s">
        <v>17</v>
      </c>
      <c r="F155" s="53">
        <v>1</v>
      </c>
      <c r="G155" s="54">
        <v>6</v>
      </c>
      <c r="H155" s="54">
        <v>6</v>
      </c>
      <c r="I155" s="54">
        <v>0</v>
      </c>
      <c r="J155" s="54">
        <v>0</v>
      </c>
      <c r="K155" s="54">
        <v>6</v>
      </c>
      <c r="L155" s="55">
        <v>6</v>
      </c>
      <c r="M155" s="56">
        <v>0</v>
      </c>
      <c r="N155" s="56">
        <v>0</v>
      </c>
      <c r="O155" s="54">
        <v>0</v>
      </c>
      <c r="P155" s="55">
        <v>360</v>
      </c>
    </row>
    <row r="156" spans="2:16" x14ac:dyDescent="0.3">
      <c r="B156" s="51" t="s">
        <v>207</v>
      </c>
      <c r="C156" s="51" t="s">
        <v>2</v>
      </c>
      <c r="D156" s="53" t="s">
        <v>236</v>
      </c>
      <c r="E156" s="53" t="s">
        <v>3</v>
      </c>
      <c r="F156" s="53">
        <v>1</v>
      </c>
      <c r="G156" s="54">
        <v>4</v>
      </c>
      <c r="H156" s="54">
        <v>2</v>
      </c>
      <c r="I156" s="54">
        <v>0</v>
      </c>
      <c r="J156" s="54">
        <v>0</v>
      </c>
      <c r="K156" s="54">
        <v>4</v>
      </c>
      <c r="L156" s="55">
        <v>2</v>
      </c>
      <c r="M156" s="56">
        <v>0</v>
      </c>
      <c r="N156" s="56">
        <v>0</v>
      </c>
      <c r="O156" s="54">
        <v>0</v>
      </c>
      <c r="P156" s="55">
        <v>160</v>
      </c>
    </row>
    <row r="157" spans="2:16" s="31" customFormat="1" x14ac:dyDescent="0.3">
      <c r="B157" s="51" t="s">
        <v>396</v>
      </c>
      <c r="C157" s="51" t="s">
        <v>2</v>
      </c>
      <c r="D157" s="53" t="s">
        <v>462</v>
      </c>
      <c r="E157" s="53" t="s">
        <v>3</v>
      </c>
      <c r="F157" s="53">
        <v>1</v>
      </c>
      <c r="G157" s="54">
        <v>4</v>
      </c>
      <c r="H157" s="54">
        <v>2</v>
      </c>
      <c r="I157" s="54">
        <v>0</v>
      </c>
      <c r="J157" s="54">
        <v>0</v>
      </c>
      <c r="K157" s="54">
        <v>4</v>
      </c>
      <c r="L157" s="55">
        <v>2</v>
      </c>
      <c r="M157" s="56">
        <v>0</v>
      </c>
      <c r="N157" s="56">
        <v>0</v>
      </c>
      <c r="O157" s="54">
        <v>0</v>
      </c>
      <c r="P157" s="55">
        <v>160</v>
      </c>
    </row>
    <row r="158" spans="2:16" x14ac:dyDescent="0.3">
      <c r="B158" s="51" t="s">
        <v>169</v>
      </c>
      <c r="C158" s="51" t="s">
        <v>170</v>
      </c>
      <c r="D158" s="53" t="s">
        <v>228</v>
      </c>
      <c r="E158" s="53" t="s">
        <v>3</v>
      </c>
      <c r="F158" s="53">
        <v>1</v>
      </c>
      <c r="G158" s="54">
        <v>4</v>
      </c>
      <c r="H158" s="54">
        <v>2</v>
      </c>
      <c r="I158" s="54">
        <v>0</v>
      </c>
      <c r="J158" s="54">
        <v>0</v>
      </c>
      <c r="K158" s="54">
        <v>4</v>
      </c>
      <c r="L158" s="55">
        <v>2</v>
      </c>
      <c r="M158" s="56">
        <v>0</v>
      </c>
      <c r="N158" s="56">
        <v>0</v>
      </c>
      <c r="O158" s="54">
        <v>0</v>
      </c>
      <c r="P158" s="55">
        <v>160</v>
      </c>
    </row>
    <row r="159" spans="2:16" x14ac:dyDescent="0.3">
      <c r="B159" s="51" t="s">
        <v>199</v>
      </c>
      <c r="C159" s="51" t="s">
        <v>9</v>
      </c>
      <c r="D159" s="53" t="s">
        <v>270</v>
      </c>
      <c r="E159" s="53" t="s">
        <v>3</v>
      </c>
      <c r="F159" s="53">
        <v>1</v>
      </c>
      <c r="G159" s="54">
        <v>4</v>
      </c>
      <c r="H159" s="54">
        <v>2</v>
      </c>
      <c r="I159" s="54">
        <v>2</v>
      </c>
      <c r="J159" s="54">
        <v>0</v>
      </c>
      <c r="K159" s="54">
        <v>2</v>
      </c>
      <c r="L159" s="55">
        <v>2</v>
      </c>
      <c r="M159" s="56">
        <v>0.5</v>
      </c>
      <c r="N159" s="56">
        <v>0</v>
      </c>
      <c r="O159" s="54">
        <v>0</v>
      </c>
      <c r="P159" s="55">
        <v>120</v>
      </c>
    </row>
    <row r="160" spans="2:16" x14ac:dyDescent="0.3">
      <c r="B160" s="51" t="s">
        <v>344</v>
      </c>
      <c r="C160" s="51" t="s">
        <v>9</v>
      </c>
      <c r="D160" s="53" t="s">
        <v>274</v>
      </c>
      <c r="E160" s="53" t="s">
        <v>3</v>
      </c>
      <c r="F160" s="53">
        <v>1</v>
      </c>
      <c r="G160" s="54">
        <v>4</v>
      </c>
      <c r="H160" s="54">
        <v>2</v>
      </c>
      <c r="I160" s="54">
        <v>0</v>
      </c>
      <c r="J160" s="54">
        <v>0</v>
      </c>
      <c r="K160" s="54">
        <v>4</v>
      </c>
      <c r="L160" s="55">
        <v>2</v>
      </c>
      <c r="M160" s="56">
        <v>0</v>
      </c>
      <c r="N160" s="56">
        <v>0</v>
      </c>
      <c r="O160" s="54">
        <v>0</v>
      </c>
      <c r="P160" s="55">
        <v>160</v>
      </c>
    </row>
    <row r="161" spans="2:16" x14ac:dyDescent="0.3">
      <c r="B161" s="51" t="s">
        <v>136</v>
      </c>
      <c r="C161" s="51" t="s">
        <v>9</v>
      </c>
      <c r="D161" s="53" t="s">
        <v>250</v>
      </c>
      <c r="E161" s="53" t="s">
        <v>3</v>
      </c>
      <c r="F161" s="53">
        <v>1</v>
      </c>
      <c r="G161" s="54">
        <v>4</v>
      </c>
      <c r="H161" s="54">
        <v>2</v>
      </c>
      <c r="I161" s="54">
        <v>1</v>
      </c>
      <c r="J161" s="54">
        <v>0</v>
      </c>
      <c r="K161" s="54">
        <v>3</v>
      </c>
      <c r="L161" s="55">
        <v>2</v>
      </c>
      <c r="M161" s="56">
        <v>0.25</v>
      </c>
      <c r="N161" s="56">
        <v>0</v>
      </c>
      <c r="O161" s="54">
        <v>0</v>
      </c>
      <c r="P161" s="55">
        <v>140</v>
      </c>
    </row>
    <row r="162" spans="2:16" x14ac:dyDescent="0.3">
      <c r="B162" s="51" t="s">
        <v>219</v>
      </c>
      <c r="C162" s="51" t="s">
        <v>9</v>
      </c>
      <c r="D162" s="53" t="s">
        <v>63</v>
      </c>
      <c r="E162" s="53" t="s">
        <v>3</v>
      </c>
      <c r="F162" s="53">
        <v>1</v>
      </c>
      <c r="G162" s="54">
        <v>4</v>
      </c>
      <c r="H162" s="54">
        <v>2</v>
      </c>
      <c r="I162" s="54">
        <v>0</v>
      </c>
      <c r="J162" s="54">
        <v>0</v>
      </c>
      <c r="K162" s="54">
        <v>4</v>
      </c>
      <c r="L162" s="55">
        <v>2</v>
      </c>
      <c r="M162" s="56">
        <v>0</v>
      </c>
      <c r="N162" s="56">
        <v>0</v>
      </c>
      <c r="O162" s="54">
        <v>0</v>
      </c>
      <c r="P162" s="55">
        <v>160</v>
      </c>
    </row>
    <row r="163" spans="2:16" x14ac:dyDescent="0.3">
      <c r="B163" s="51" t="s">
        <v>233</v>
      </c>
      <c r="C163" s="51" t="s">
        <v>9</v>
      </c>
      <c r="D163" s="53" t="s">
        <v>260</v>
      </c>
      <c r="E163" s="53" t="s">
        <v>3</v>
      </c>
      <c r="F163" s="53">
        <v>1</v>
      </c>
      <c r="G163" s="54">
        <v>4</v>
      </c>
      <c r="H163" s="54">
        <v>2</v>
      </c>
      <c r="I163" s="54">
        <v>1</v>
      </c>
      <c r="J163" s="54">
        <v>0</v>
      </c>
      <c r="K163" s="54">
        <v>3</v>
      </c>
      <c r="L163" s="55">
        <v>2</v>
      </c>
      <c r="M163" s="56">
        <v>0.25</v>
      </c>
      <c r="N163" s="56">
        <v>0</v>
      </c>
      <c r="O163" s="54">
        <v>8</v>
      </c>
      <c r="P163" s="55">
        <v>140</v>
      </c>
    </row>
    <row r="164" spans="2:16" x14ac:dyDescent="0.3">
      <c r="B164" s="51" t="s">
        <v>93</v>
      </c>
      <c r="C164" s="51" t="s">
        <v>6</v>
      </c>
      <c r="D164" s="53" t="s">
        <v>268</v>
      </c>
      <c r="E164" s="53" t="s">
        <v>10</v>
      </c>
      <c r="F164" s="53">
        <v>2</v>
      </c>
      <c r="G164" s="54">
        <v>16</v>
      </c>
      <c r="H164" s="54">
        <v>16</v>
      </c>
      <c r="I164" s="54">
        <v>0</v>
      </c>
      <c r="J164" s="54">
        <v>2</v>
      </c>
      <c r="K164" s="54">
        <v>16</v>
      </c>
      <c r="L164" s="55">
        <v>14</v>
      </c>
      <c r="M164" s="56">
        <v>0</v>
      </c>
      <c r="N164" s="56">
        <v>0.125</v>
      </c>
      <c r="O164" s="54">
        <v>0</v>
      </c>
      <c r="P164" s="55">
        <v>880</v>
      </c>
    </row>
    <row r="165" spans="2:16" x14ac:dyDescent="0.3">
      <c r="B165" s="51" t="s">
        <v>114</v>
      </c>
      <c r="C165" s="51" t="s">
        <v>6</v>
      </c>
      <c r="D165" s="53" t="s">
        <v>248</v>
      </c>
      <c r="E165" s="53" t="s">
        <v>10</v>
      </c>
      <c r="F165" s="53">
        <v>1</v>
      </c>
      <c r="G165" s="54">
        <v>8</v>
      </c>
      <c r="H165" s="54">
        <v>8</v>
      </c>
      <c r="I165" s="54">
        <v>6</v>
      </c>
      <c r="J165" s="54">
        <v>4</v>
      </c>
      <c r="K165" s="54">
        <v>2</v>
      </c>
      <c r="L165" s="55">
        <v>4</v>
      </c>
      <c r="M165" s="56">
        <v>0.75</v>
      </c>
      <c r="N165" s="56">
        <v>0.5</v>
      </c>
      <c r="O165" s="54">
        <v>200</v>
      </c>
      <c r="P165" s="55">
        <v>200</v>
      </c>
    </row>
    <row r="166" spans="2:16" x14ac:dyDescent="0.3">
      <c r="B166" s="51" t="s">
        <v>231</v>
      </c>
      <c r="C166" s="51" t="s">
        <v>13</v>
      </c>
      <c r="D166" s="53" t="s">
        <v>232</v>
      </c>
      <c r="E166" s="53" t="s">
        <v>3</v>
      </c>
      <c r="F166" s="53">
        <v>1</v>
      </c>
      <c r="G166" s="54">
        <v>4</v>
      </c>
      <c r="H166" s="54">
        <v>2</v>
      </c>
      <c r="I166" s="54">
        <v>2</v>
      </c>
      <c r="J166" s="54">
        <v>2</v>
      </c>
      <c r="K166" s="54">
        <v>2</v>
      </c>
      <c r="L166" s="55">
        <v>0</v>
      </c>
      <c r="M166" s="56">
        <v>0.5</v>
      </c>
      <c r="N166" s="56">
        <v>1</v>
      </c>
      <c r="O166" s="54">
        <v>120</v>
      </c>
      <c r="P166" s="55">
        <v>40</v>
      </c>
    </row>
    <row r="167" spans="2:16" x14ac:dyDescent="0.3">
      <c r="B167" s="51" t="s">
        <v>118</v>
      </c>
      <c r="C167" s="51" t="s">
        <v>13</v>
      </c>
      <c r="D167" s="53" t="s">
        <v>230</v>
      </c>
      <c r="E167" s="53" t="s">
        <v>3</v>
      </c>
      <c r="F167" s="53">
        <v>2</v>
      </c>
      <c r="G167" s="54">
        <v>8</v>
      </c>
      <c r="H167" s="54">
        <v>4</v>
      </c>
      <c r="I167" s="54">
        <v>2</v>
      </c>
      <c r="J167" s="54">
        <v>2</v>
      </c>
      <c r="K167" s="54">
        <v>6</v>
      </c>
      <c r="L167" s="55">
        <v>2</v>
      </c>
      <c r="M167" s="56">
        <v>0.25</v>
      </c>
      <c r="N167" s="56">
        <v>0.5</v>
      </c>
      <c r="O167" s="54">
        <v>80</v>
      </c>
      <c r="P167" s="55">
        <v>200</v>
      </c>
    </row>
    <row r="168" spans="2:16" x14ac:dyDescent="0.3">
      <c r="B168" s="51" t="s">
        <v>83</v>
      </c>
      <c r="C168" s="51" t="s">
        <v>2</v>
      </c>
      <c r="D168" s="53" t="s">
        <v>292</v>
      </c>
      <c r="E168" s="53" t="s">
        <v>17</v>
      </c>
      <c r="F168" s="53">
        <v>1</v>
      </c>
      <c r="G168" s="54">
        <v>6</v>
      </c>
      <c r="H168" s="54">
        <v>6</v>
      </c>
      <c r="I168" s="54">
        <v>2</v>
      </c>
      <c r="J168" s="54">
        <v>2</v>
      </c>
      <c r="K168" s="54">
        <v>4</v>
      </c>
      <c r="L168" s="55">
        <v>4</v>
      </c>
      <c r="M168" s="56">
        <v>0.33333333333333331</v>
      </c>
      <c r="N168" s="56">
        <v>0.33333333333333331</v>
      </c>
      <c r="O168" s="54">
        <v>120</v>
      </c>
      <c r="P168" s="55">
        <v>240</v>
      </c>
    </row>
    <row r="169" spans="2:16" x14ac:dyDescent="0.3">
      <c r="B169" s="51" t="s">
        <v>67</v>
      </c>
      <c r="C169" s="51" t="s">
        <v>2</v>
      </c>
      <c r="D169" s="53" t="s">
        <v>276</v>
      </c>
      <c r="E169" s="53" t="s">
        <v>17</v>
      </c>
      <c r="F169" s="53">
        <v>1</v>
      </c>
      <c r="G169" s="54">
        <v>6</v>
      </c>
      <c r="H169" s="54">
        <v>6</v>
      </c>
      <c r="I169" s="54">
        <v>2</v>
      </c>
      <c r="J169" s="54">
        <v>2</v>
      </c>
      <c r="K169" s="54">
        <v>4</v>
      </c>
      <c r="L169" s="55">
        <v>4</v>
      </c>
      <c r="M169" s="56">
        <v>0.33333333333333331</v>
      </c>
      <c r="N169" s="56">
        <v>0.33333333333333331</v>
      </c>
      <c r="O169" s="54">
        <v>120</v>
      </c>
      <c r="P169" s="55">
        <v>240</v>
      </c>
    </row>
    <row r="170" spans="2:16" x14ac:dyDescent="0.3">
      <c r="B170" s="51" t="s">
        <v>73</v>
      </c>
      <c r="C170" s="51" t="s">
        <v>2</v>
      </c>
      <c r="D170" s="53" t="s">
        <v>234</v>
      </c>
      <c r="E170" s="53" t="s">
        <v>3</v>
      </c>
      <c r="F170" s="53">
        <v>2</v>
      </c>
      <c r="G170" s="54">
        <v>8</v>
      </c>
      <c r="H170" s="54">
        <v>4</v>
      </c>
      <c r="I170" s="54">
        <v>2</v>
      </c>
      <c r="J170" s="54">
        <v>2</v>
      </c>
      <c r="K170" s="54">
        <v>6</v>
      </c>
      <c r="L170" s="55">
        <v>2</v>
      </c>
      <c r="M170" s="56">
        <v>0.25</v>
      </c>
      <c r="N170" s="56">
        <v>0.5</v>
      </c>
      <c r="O170" s="54">
        <v>120</v>
      </c>
      <c r="P170" s="55">
        <v>200</v>
      </c>
    </row>
    <row r="171" spans="2:16" x14ac:dyDescent="0.3">
      <c r="B171" s="51" t="s">
        <v>291</v>
      </c>
      <c r="C171" s="51" t="s">
        <v>2</v>
      </c>
      <c r="D171" s="53" t="s">
        <v>322</v>
      </c>
      <c r="E171" s="53" t="s">
        <v>3</v>
      </c>
      <c r="F171" s="53">
        <v>1</v>
      </c>
      <c r="G171" s="54">
        <v>4</v>
      </c>
      <c r="H171" s="54">
        <v>2</v>
      </c>
      <c r="I171" s="54">
        <v>0</v>
      </c>
      <c r="J171" s="54">
        <v>0</v>
      </c>
      <c r="K171" s="54">
        <v>4</v>
      </c>
      <c r="L171" s="55">
        <v>2</v>
      </c>
      <c r="M171" s="56">
        <v>0</v>
      </c>
      <c r="N171" s="56">
        <v>0</v>
      </c>
      <c r="O171" s="54">
        <v>0</v>
      </c>
      <c r="P171" s="55">
        <v>160</v>
      </c>
    </row>
    <row r="172" spans="2:16" x14ac:dyDescent="0.3">
      <c r="B172" s="51" t="s">
        <v>161</v>
      </c>
      <c r="C172" s="51" t="s">
        <v>2</v>
      </c>
      <c r="D172" s="53" t="s">
        <v>301</v>
      </c>
      <c r="E172" s="53" t="s">
        <v>3</v>
      </c>
      <c r="F172" s="53">
        <v>1</v>
      </c>
      <c r="G172" s="54">
        <v>4</v>
      </c>
      <c r="H172" s="54">
        <v>2</v>
      </c>
      <c r="I172" s="54">
        <v>0</v>
      </c>
      <c r="J172" s="54">
        <v>0</v>
      </c>
      <c r="K172" s="54">
        <v>4</v>
      </c>
      <c r="L172" s="55">
        <v>2</v>
      </c>
      <c r="M172" s="56">
        <v>0</v>
      </c>
      <c r="N172" s="56">
        <v>0</v>
      </c>
      <c r="O172" s="54">
        <v>0</v>
      </c>
      <c r="P172" s="55">
        <v>160</v>
      </c>
    </row>
    <row r="173" spans="2:16" x14ac:dyDescent="0.3">
      <c r="B173" s="51" t="s">
        <v>334</v>
      </c>
      <c r="C173" s="51" t="s">
        <v>42</v>
      </c>
      <c r="D173" s="53" t="s">
        <v>305</v>
      </c>
      <c r="E173" s="53" t="s">
        <v>3</v>
      </c>
      <c r="F173" s="53">
        <v>1</v>
      </c>
      <c r="G173" s="54">
        <v>4</v>
      </c>
      <c r="H173" s="54">
        <v>2</v>
      </c>
      <c r="I173" s="54">
        <v>0</v>
      </c>
      <c r="J173" s="54">
        <v>0</v>
      </c>
      <c r="K173" s="54">
        <v>4</v>
      </c>
      <c r="L173" s="55">
        <v>2</v>
      </c>
      <c r="M173" s="56">
        <v>0</v>
      </c>
      <c r="N173" s="56">
        <v>0</v>
      </c>
      <c r="O173" s="54">
        <v>0</v>
      </c>
      <c r="P173" s="55">
        <v>160</v>
      </c>
    </row>
    <row r="174" spans="2:16" x14ac:dyDescent="0.3">
      <c r="B174" s="51" t="s">
        <v>213</v>
      </c>
      <c r="C174" s="51" t="s">
        <v>36</v>
      </c>
      <c r="D174" s="53" t="s">
        <v>343</v>
      </c>
      <c r="E174" s="53" t="s">
        <v>3</v>
      </c>
      <c r="F174" s="53">
        <v>1</v>
      </c>
      <c r="G174" s="54">
        <v>4</v>
      </c>
      <c r="H174" s="54">
        <v>2</v>
      </c>
      <c r="I174" s="54">
        <v>0</v>
      </c>
      <c r="J174" s="54">
        <v>0</v>
      </c>
      <c r="K174" s="54">
        <v>4</v>
      </c>
      <c r="L174" s="55">
        <v>2</v>
      </c>
      <c r="M174" s="56">
        <v>0</v>
      </c>
      <c r="N174" s="56">
        <v>0</v>
      </c>
      <c r="O174" s="54">
        <v>0</v>
      </c>
      <c r="P174" s="55">
        <v>160</v>
      </c>
    </row>
    <row r="175" spans="2:16" x14ac:dyDescent="0.3">
      <c r="B175" s="51" t="s">
        <v>209</v>
      </c>
      <c r="C175" s="51" t="s">
        <v>36</v>
      </c>
      <c r="D175" s="53" t="s">
        <v>341</v>
      </c>
      <c r="E175" s="53" t="s">
        <v>3</v>
      </c>
      <c r="F175" s="53">
        <v>1</v>
      </c>
      <c r="G175" s="54">
        <v>4</v>
      </c>
      <c r="H175" s="54">
        <v>2</v>
      </c>
      <c r="I175" s="54">
        <v>0</v>
      </c>
      <c r="J175" s="54">
        <v>0</v>
      </c>
      <c r="K175" s="54">
        <v>4</v>
      </c>
      <c r="L175" s="55">
        <v>2</v>
      </c>
      <c r="M175" s="56">
        <v>0</v>
      </c>
      <c r="N175" s="56">
        <v>0</v>
      </c>
      <c r="O175" s="54">
        <v>0</v>
      </c>
      <c r="P175" s="55">
        <v>160</v>
      </c>
    </row>
    <row r="176" spans="2:16" x14ac:dyDescent="0.3">
      <c r="B176" s="51" t="s">
        <v>515</v>
      </c>
      <c r="C176" s="51" t="s">
        <v>36</v>
      </c>
      <c r="D176" s="53" t="s">
        <v>320</v>
      </c>
      <c r="E176" s="53" t="s">
        <v>17</v>
      </c>
      <c r="F176" s="53">
        <v>1</v>
      </c>
      <c r="G176" s="54">
        <v>6</v>
      </c>
      <c r="H176" s="54">
        <v>6</v>
      </c>
      <c r="I176" s="54">
        <v>2</v>
      </c>
      <c r="J176" s="54">
        <v>0</v>
      </c>
      <c r="K176" s="54">
        <v>4</v>
      </c>
      <c r="L176" s="55">
        <v>6</v>
      </c>
      <c r="M176" s="56">
        <v>0.33333333333333331</v>
      </c>
      <c r="N176" s="56">
        <v>0</v>
      </c>
      <c r="O176" s="54">
        <v>0</v>
      </c>
      <c r="P176" s="55">
        <v>320</v>
      </c>
    </row>
    <row r="177" spans="2:16" x14ac:dyDescent="0.3">
      <c r="B177" s="51" t="s">
        <v>35</v>
      </c>
      <c r="C177" s="51" t="s">
        <v>36</v>
      </c>
      <c r="D177" s="53" t="s">
        <v>463</v>
      </c>
      <c r="E177" s="53" t="s">
        <v>3</v>
      </c>
      <c r="F177" s="53">
        <v>2</v>
      </c>
      <c r="G177" s="54">
        <v>8</v>
      </c>
      <c r="H177" s="54">
        <v>4</v>
      </c>
      <c r="I177" s="54">
        <v>0</v>
      </c>
      <c r="J177" s="54">
        <v>0</v>
      </c>
      <c r="K177" s="54">
        <v>8</v>
      </c>
      <c r="L177" s="55">
        <v>4</v>
      </c>
      <c r="M177" s="56">
        <v>0</v>
      </c>
      <c r="N177" s="56">
        <v>0</v>
      </c>
      <c r="O177" s="54">
        <v>0</v>
      </c>
      <c r="P177" s="55">
        <v>320</v>
      </c>
    </row>
    <row r="178" spans="2:16" x14ac:dyDescent="0.3">
      <c r="B178" s="51" t="s">
        <v>98</v>
      </c>
      <c r="C178" s="51" t="s">
        <v>36</v>
      </c>
      <c r="D178" s="53" t="s">
        <v>314</v>
      </c>
      <c r="E178" s="53" t="s">
        <v>10</v>
      </c>
      <c r="F178" s="53">
        <v>1</v>
      </c>
      <c r="G178" s="54">
        <v>8</v>
      </c>
      <c r="H178" s="54">
        <v>8</v>
      </c>
      <c r="I178" s="54">
        <v>0</v>
      </c>
      <c r="J178" s="54">
        <v>0</v>
      </c>
      <c r="K178" s="54">
        <v>8</v>
      </c>
      <c r="L178" s="55">
        <v>8</v>
      </c>
      <c r="M178" s="56">
        <v>0</v>
      </c>
      <c r="N178" s="56">
        <v>0</v>
      </c>
      <c r="O178" s="54">
        <v>0</v>
      </c>
      <c r="P178" s="55">
        <v>480</v>
      </c>
    </row>
    <row r="179" spans="2:16" x14ac:dyDescent="0.3">
      <c r="B179" s="51" t="s">
        <v>388</v>
      </c>
      <c r="C179" s="51" t="s">
        <v>389</v>
      </c>
      <c r="D179" s="53" t="s">
        <v>464</v>
      </c>
      <c r="E179" s="53" t="s">
        <v>3</v>
      </c>
      <c r="F179" s="53">
        <v>1</v>
      </c>
      <c r="G179" s="54">
        <v>4</v>
      </c>
      <c r="H179" s="54">
        <v>2</v>
      </c>
      <c r="I179" s="54">
        <v>0</v>
      </c>
      <c r="J179" s="54">
        <v>0</v>
      </c>
      <c r="K179" s="54">
        <v>4</v>
      </c>
      <c r="L179" s="55">
        <v>2</v>
      </c>
      <c r="M179" s="56">
        <v>0</v>
      </c>
      <c r="N179" s="56">
        <v>0</v>
      </c>
      <c r="O179" s="54">
        <v>0</v>
      </c>
      <c r="P179" s="55">
        <v>160</v>
      </c>
    </row>
    <row r="180" spans="2:16" x14ac:dyDescent="0.3">
      <c r="B180" s="51" t="s">
        <v>245</v>
      </c>
      <c r="C180" s="51" t="s">
        <v>133</v>
      </c>
      <c r="D180" s="53" t="s">
        <v>329</v>
      </c>
      <c r="E180" s="53" t="s">
        <v>3</v>
      </c>
      <c r="F180" s="53">
        <v>1</v>
      </c>
      <c r="G180" s="54">
        <v>4</v>
      </c>
      <c r="H180" s="54">
        <v>2</v>
      </c>
      <c r="I180" s="54">
        <v>5</v>
      </c>
      <c r="J180" s="54">
        <v>2</v>
      </c>
      <c r="K180" s="54">
        <v>-1</v>
      </c>
      <c r="L180" s="55">
        <v>0</v>
      </c>
      <c r="M180" s="56">
        <v>1.25</v>
      </c>
      <c r="N180" s="56">
        <v>1</v>
      </c>
      <c r="O180" s="54">
        <v>40</v>
      </c>
      <c r="P180" s="55">
        <v>-20</v>
      </c>
    </row>
    <row r="181" spans="2:16" x14ac:dyDescent="0.3">
      <c r="B181" s="51" t="s">
        <v>417</v>
      </c>
      <c r="C181" s="51" t="s">
        <v>133</v>
      </c>
      <c r="D181" s="53" t="s">
        <v>483</v>
      </c>
      <c r="E181" s="53" t="s">
        <v>10</v>
      </c>
      <c r="F181" s="53">
        <v>1</v>
      </c>
      <c r="G181" s="54">
        <v>8</v>
      </c>
      <c r="H181" s="54">
        <v>8</v>
      </c>
      <c r="I181" s="54">
        <v>0</v>
      </c>
      <c r="J181" s="54">
        <v>0</v>
      </c>
      <c r="K181" s="54">
        <v>8</v>
      </c>
      <c r="L181" s="55">
        <v>8</v>
      </c>
      <c r="M181" s="56">
        <v>0</v>
      </c>
      <c r="N181" s="56">
        <v>0</v>
      </c>
      <c r="O181" s="54">
        <v>0</v>
      </c>
      <c r="P181" s="55">
        <v>480</v>
      </c>
    </row>
    <row r="182" spans="2:16" x14ac:dyDescent="0.3">
      <c r="B182" s="51" t="s">
        <v>405</v>
      </c>
      <c r="C182" s="51" t="s">
        <v>389</v>
      </c>
      <c r="D182" s="53" t="s">
        <v>465</v>
      </c>
      <c r="E182" s="53" t="s">
        <v>3</v>
      </c>
      <c r="F182" s="53">
        <v>1</v>
      </c>
      <c r="G182" s="54">
        <v>4</v>
      </c>
      <c r="H182" s="54">
        <v>2</v>
      </c>
      <c r="I182" s="54">
        <v>0</v>
      </c>
      <c r="J182" s="54">
        <v>0</v>
      </c>
      <c r="K182" s="54">
        <v>4</v>
      </c>
      <c r="L182" s="55">
        <v>2</v>
      </c>
      <c r="M182" s="56">
        <v>0</v>
      </c>
      <c r="N182" s="56">
        <v>0</v>
      </c>
      <c r="O182" s="54">
        <v>0</v>
      </c>
      <c r="P182" s="55">
        <v>160</v>
      </c>
    </row>
    <row r="183" spans="2:16" x14ac:dyDescent="0.3">
      <c r="B183" s="51" t="s">
        <v>26</v>
      </c>
      <c r="C183" s="51" t="s">
        <v>6</v>
      </c>
      <c r="D183" s="53" t="s">
        <v>345</v>
      </c>
      <c r="E183" s="53" t="s">
        <v>10</v>
      </c>
      <c r="F183" s="53">
        <v>2</v>
      </c>
      <c r="G183" s="54">
        <v>16</v>
      </c>
      <c r="H183" s="54">
        <v>16</v>
      </c>
      <c r="I183" s="54">
        <v>1</v>
      </c>
      <c r="J183" s="54">
        <v>7</v>
      </c>
      <c r="K183" s="54">
        <v>15</v>
      </c>
      <c r="L183" s="55">
        <v>9</v>
      </c>
      <c r="M183" s="56">
        <v>6.25E-2</v>
      </c>
      <c r="N183" s="56">
        <v>0.4375</v>
      </c>
      <c r="O183" s="54">
        <v>140</v>
      </c>
      <c r="P183" s="55">
        <v>660</v>
      </c>
    </row>
    <row r="184" spans="2:16" x14ac:dyDescent="0.3">
      <c r="B184" s="51" t="s">
        <v>20</v>
      </c>
      <c r="C184" s="51" t="s">
        <v>6</v>
      </c>
      <c r="D184" s="53" t="s">
        <v>327</v>
      </c>
      <c r="E184" s="53" t="s">
        <v>17</v>
      </c>
      <c r="F184" s="53">
        <v>2</v>
      </c>
      <c r="G184" s="54">
        <v>12</v>
      </c>
      <c r="H184" s="54">
        <v>12</v>
      </c>
      <c r="I184" s="54">
        <v>10</v>
      </c>
      <c r="J184" s="59">
        <v>4</v>
      </c>
      <c r="K184" s="54">
        <v>2</v>
      </c>
      <c r="L184" s="55">
        <v>8</v>
      </c>
      <c r="M184" s="56">
        <v>0.83333333333333337</v>
      </c>
      <c r="N184" s="56">
        <v>0.33333333333333331</v>
      </c>
      <c r="O184" s="54">
        <v>240</v>
      </c>
      <c r="P184" s="55">
        <v>360</v>
      </c>
    </row>
    <row r="185" spans="2:16" x14ac:dyDescent="0.3">
      <c r="B185" s="51" t="s">
        <v>287</v>
      </c>
      <c r="C185" s="51" t="s">
        <v>9</v>
      </c>
      <c r="D185" s="53" t="s">
        <v>337</v>
      </c>
      <c r="E185" s="53" t="s">
        <v>3</v>
      </c>
      <c r="F185" s="53">
        <v>1</v>
      </c>
      <c r="G185" s="54">
        <v>4</v>
      </c>
      <c r="H185" s="54">
        <v>2</v>
      </c>
      <c r="I185" s="54">
        <v>0</v>
      </c>
      <c r="J185" s="54">
        <v>0</v>
      </c>
      <c r="K185" s="54">
        <v>4</v>
      </c>
      <c r="L185" s="55">
        <v>2</v>
      </c>
      <c r="M185" s="56">
        <v>0</v>
      </c>
      <c r="N185" s="56">
        <v>0</v>
      </c>
      <c r="O185" s="54">
        <v>0</v>
      </c>
      <c r="P185" s="55">
        <v>160</v>
      </c>
    </row>
    <row r="186" spans="2:16" x14ac:dyDescent="0.3">
      <c r="B186" s="51" t="s">
        <v>376</v>
      </c>
      <c r="C186" s="51" t="s">
        <v>42</v>
      </c>
      <c r="D186" s="53" t="s">
        <v>466</v>
      </c>
      <c r="E186" s="53" t="s">
        <v>3</v>
      </c>
      <c r="F186" s="53">
        <v>1</v>
      </c>
      <c r="G186" s="54">
        <v>4</v>
      </c>
      <c r="H186" s="54">
        <v>2</v>
      </c>
      <c r="I186" s="54">
        <v>0</v>
      </c>
      <c r="J186" s="54">
        <v>0</v>
      </c>
      <c r="K186" s="54">
        <v>4</v>
      </c>
      <c r="L186" s="55">
        <v>2</v>
      </c>
      <c r="M186" s="56">
        <v>0</v>
      </c>
      <c r="N186" s="56">
        <v>0</v>
      </c>
      <c r="O186" s="54">
        <v>0</v>
      </c>
      <c r="P186" s="55">
        <v>160</v>
      </c>
    </row>
    <row r="187" spans="2:16" x14ac:dyDescent="0.3">
      <c r="B187" s="51" t="s">
        <v>279</v>
      </c>
      <c r="C187" s="51" t="s">
        <v>42</v>
      </c>
      <c r="D187" s="53" t="s">
        <v>339</v>
      </c>
      <c r="E187" s="53" t="s">
        <v>3</v>
      </c>
      <c r="F187" s="53">
        <v>1</v>
      </c>
      <c r="G187" s="54">
        <v>4</v>
      </c>
      <c r="H187" s="54">
        <v>2</v>
      </c>
      <c r="I187" s="54">
        <v>0</v>
      </c>
      <c r="J187" s="54">
        <v>0</v>
      </c>
      <c r="K187" s="54">
        <v>4</v>
      </c>
      <c r="L187" s="55">
        <v>2</v>
      </c>
      <c r="M187" s="56">
        <v>0</v>
      </c>
      <c r="N187" s="56">
        <v>0</v>
      </c>
      <c r="O187" s="54">
        <v>0</v>
      </c>
      <c r="P187" s="55">
        <v>160</v>
      </c>
    </row>
    <row r="188" spans="2:16" x14ac:dyDescent="0.3">
      <c r="B188" s="51" t="s">
        <v>297</v>
      </c>
      <c r="C188" s="51" t="s">
        <v>42</v>
      </c>
      <c r="D188" s="53" t="s">
        <v>303</v>
      </c>
      <c r="E188" s="53" t="s">
        <v>3</v>
      </c>
      <c r="F188" s="53">
        <v>1</v>
      </c>
      <c r="G188" s="54">
        <v>4</v>
      </c>
      <c r="H188" s="54">
        <v>2</v>
      </c>
      <c r="I188" s="54">
        <v>0</v>
      </c>
      <c r="J188" s="54">
        <v>0</v>
      </c>
      <c r="K188" s="54">
        <v>4</v>
      </c>
      <c r="L188" s="55">
        <v>2</v>
      </c>
      <c r="M188" s="56">
        <v>0</v>
      </c>
      <c r="N188" s="56">
        <v>0</v>
      </c>
      <c r="O188" s="54">
        <v>0</v>
      </c>
      <c r="P188" s="55">
        <v>160</v>
      </c>
    </row>
    <row r="189" spans="2:16" x14ac:dyDescent="0.3">
      <c r="B189" s="51" t="s">
        <v>371</v>
      </c>
      <c r="C189" s="51" t="s">
        <v>42</v>
      </c>
      <c r="D189" s="53" t="s">
        <v>318</v>
      </c>
      <c r="E189" s="53" t="s">
        <v>3</v>
      </c>
      <c r="F189" s="53">
        <v>1</v>
      </c>
      <c r="G189" s="54">
        <v>4</v>
      </c>
      <c r="H189" s="54">
        <v>2</v>
      </c>
      <c r="I189" s="54">
        <v>0</v>
      </c>
      <c r="J189" s="54">
        <v>0</v>
      </c>
      <c r="K189" s="54">
        <v>4</v>
      </c>
      <c r="L189" s="55">
        <v>2</v>
      </c>
      <c r="M189" s="56">
        <v>0</v>
      </c>
      <c r="N189" s="56">
        <v>0</v>
      </c>
      <c r="O189" s="54">
        <v>0</v>
      </c>
      <c r="P189" s="55">
        <v>160</v>
      </c>
    </row>
    <row r="190" spans="2:16" x14ac:dyDescent="0.3">
      <c r="B190" s="51" t="s">
        <v>387</v>
      </c>
      <c r="C190" s="51" t="s">
        <v>36</v>
      </c>
      <c r="D190" s="53" t="s">
        <v>467</v>
      </c>
      <c r="E190" s="53" t="s">
        <v>3</v>
      </c>
      <c r="F190" s="53">
        <v>1</v>
      </c>
      <c r="G190" s="54">
        <v>4</v>
      </c>
      <c r="H190" s="54">
        <v>2</v>
      </c>
      <c r="I190" s="54">
        <v>0</v>
      </c>
      <c r="J190" s="54">
        <v>0</v>
      </c>
      <c r="K190" s="54">
        <v>4</v>
      </c>
      <c r="L190" s="55">
        <v>2</v>
      </c>
      <c r="M190" s="56">
        <v>0</v>
      </c>
      <c r="N190" s="56">
        <v>0</v>
      </c>
      <c r="O190" s="54">
        <v>0</v>
      </c>
      <c r="P190" s="55">
        <v>160</v>
      </c>
    </row>
    <row r="191" spans="2:16" x14ac:dyDescent="0.3">
      <c r="B191" s="51" t="s">
        <v>326</v>
      </c>
      <c r="C191" s="51" t="s">
        <v>42</v>
      </c>
      <c r="D191" s="53" t="s">
        <v>333</v>
      </c>
      <c r="E191" s="53" t="s">
        <v>3</v>
      </c>
      <c r="F191" s="53">
        <v>1</v>
      </c>
      <c r="G191" s="54">
        <v>4</v>
      </c>
      <c r="H191" s="54">
        <v>2</v>
      </c>
      <c r="I191" s="54">
        <v>0</v>
      </c>
      <c r="J191" s="54">
        <v>0</v>
      </c>
      <c r="K191" s="54">
        <v>4</v>
      </c>
      <c r="L191" s="55">
        <v>2</v>
      </c>
      <c r="M191" s="56">
        <v>0</v>
      </c>
      <c r="N191" s="56">
        <v>0</v>
      </c>
      <c r="O191" s="54">
        <v>0</v>
      </c>
      <c r="P191" s="55">
        <v>160</v>
      </c>
    </row>
    <row r="192" spans="2:16" x14ac:dyDescent="0.3">
      <c r="B192" s="51" t="s">
        <v>143</v>
      </c>
      <c r="C192" s="51" t="s">
        <v>42</v>
      </c>
      <c r="D192" s="53" t="s">
        <v>310</v>
      </c>
      <c r="E192" s="53" t="s">
        <v>3</v>
      </c>
      <c r="F192" s="53">
        <v>1</v>
      </c>
      <c r="G192" s="54">
        <v>4</v>
      </c>
      <c r="H192" s="54">
        <v>2</v>
      </c>
      <c r="I192" s="54">
        <v>0</v>
      </c>
      <c r="J192" s="54">
        <v>0</v>
      </c>
      <c r="K192" s="54">
        <v>4</v>
      </c>
      <c r="L192" s="55">
        <v>2</v>
      </c>
      <c r="M192" s="56">
        <v>0</v>
      </c>
      <c r="N192" s="56">
        <v>0</v>
      </c>
      <c r="O192" s="54">
        <v>0</v>
      </c>
      <c r="P192" s="55">
        <v>160</v>
      </c>
    </row>
    <row r="193" spans="2:16" x14ac:dyDescent="0.3">
      <c r="B193" s="51" t="s">
        <v>151</v>
      </c>
      <c r="C193" s="51" t="s">
        <v>9</v>
      </c>
      <c r="D193" s="53" t="s">
        <v>325</v>
      </c>
      <c r="E193" s="53" t="s">
        <v>3</v>
      </c>
      <c r="F193" s="53">
        <v>2</v>
      </c>
      <c r="G193" s="54">
        <v>8</v>
      </c>
      <c r="H193" s="54">
        <v>4</v>
      </c>
      <c r="I193" s="54">
        <v>2</v>
      </c>
      <c r="J193" s="54">
        <v>0</v>
      </c>
      <c r="K193" s="54">
        <v>6</v>
      </c>
      <c r="L193" s="55">
        <v>4</v>
      </c>
      <c r="M193" s="56">
        <v>0.25</v>
      </c>
      <c r="N193" s="56">
        <v>0</v>
      </c>
      <c r="O193" s="54">
        <v>0</v>
      </c>
      <c r="P193" s="55">
        <v>280</v>
      </c>
    </row>
    <row r="194" spans="2:16" x14ac:dyDescent="0.3">
      <c r="B194" s="51" t="s">
        <v>78</v>
      </c>
      <c r="C194" s="51" t="s">
        <v>2</v>
      </c>
      <c r="D194" s="53" t="s">
        <v>307</v>
      </c>
      <c r="E194" s="53" t="s">
        <v>3</v>
      </c>
      <c r="F194" s="53">
        <v>1</v>
      </c>
      <c r="G194" s="54">
        <v>4</v>
      </c>
      <c r="H194" s="54">
        <v>2</v>
      </c>
      <c r="I194" s="54">
        <v>0</v>
      </c>
      <c r="J194" s="54">
        <v>0</v>
      </c>
      <c r="K194" s="54">
        <v>4</v>
      </c>
      <c r="L194" s="55">
        <v>2</v>
      </c>
      <c r="M194" s="56">
        <v>0</v>
      </c>
      <c r="N194" s="56">
        <v>0</v>
      </c>
      <c r="O194" s="54">
        <v>0</v>
      </c>
      <c r="P194" s="55">
        <v>160</v>
      </c>
    </row>
    <row r="195" spans="2:16" x14ac:dyDescent="0.3">
      <c r="B195" s="51" t="s">
        <v>399</v>
      </c>
      <c r="C195" s="51" t="s">
        <v>389</v>
      </c>
      <c r="D195" s="53" t="s">
        <v>468</v>
      </c>
      <c r="E195" s="53" t="s">
        <v>3</v>
      </c>
      <c r="F195" s="53">
        <v>1</v>
      </c>
      <c r="G195" s="54">
        <v>4</v>
      </c>
      <c r="H195" s="54">
        <v>2</v>
      </c>
      <c r="I195" s="54">
        <v>2</v>
      </c>
      <c r="J195" s="54">
        <v>0</v>
      </c>
      <c r="K195" s="54">
        <v>2</v>
      </c>
      <c r="L195" s="55">
        <v>2</v>
      </c>
      <c r="M195" s="56">
        <v>0.5</v>
      </c>
      <c r="N195" s="56">
        <v>0</v>
      </c>
      <c r="O195" s="54">
        <v>0</v>
      </c>
      <c r="P195" s="55">
        <v>120</v>
      </c>
    </row>
    <row r="196" spans="2:16" x14ac:dyDescent="0.3">
      <c r="B196" s="51" t="s">
        <v>295</v>
      </c>
      <c r="C196" s="51" t="s">
        <v>9</v>
      </c>
      <c r="D196" s="53" t="s">
        <v>316</v>
      </c>
      <c r="E196" s="53" t="s">
        <v>3</v>
      </c>
      <c r="F196" s="53">
        <v>1</v>
      </c>
      <c r="G196" s="54">
        <v>4</v>
      </c>
      <c r="H196" s="54">
        <v>2</v>
      </c>
      <c r="I196" s="54">
        <v>0</v>
      </c>
      <c r="J196" s="54">
        <v>0</v>
      </c>
      <c r="K196" s="54">
        <v>4</v>
      </c>
      <c r="L196" s="55">
        <v>2</v>
      </c>
      <c r="M196" s="56">
        <v>0</v>
      </c>
      <c r="N196" s="56">
        <v>0</v>
      </c>
      <c r="O196" s="54">
        <v>0</v>
      </c>
      <c r="P196" s="55">
        <v>160</v>
      </c>
    </row>
    <row r="197" spans="2:16" x14ac:dyDescent="0.3">
      <c r="B197" s="51" t="s">
        <v>356</v>
      </c>
      <c r="C197" s="51" t="s">
        <v>16</v>
      </c>
      <c r="D197" s="53" t="s">
        <v>335</v>
      </c>
      <c r="E197" s="53" t="s">
        <v>3</v>
      </c>
      <c r="F197" s="53">
        <v>1</v>
      </c>
      <c r="G197" s="54">
        <v>4</v>
      </c>
      <c r="H197" s="54">
        <v>2</v>
      </c>
      <c r="I197" s="54">
        <v>2</v>
      </c>
      <c r="J197" s="54">
        <v>0</v>
      </c>
      <c r="K197" s="54">
        <v>2</v>
      </c>
      <c r="L197" s="55">
        <v>2</v>
      </c>
      <c r="M197" s="56">
        <v>0.5</v>
      </c>
      <c r="N197" s="56">
        <v>0</v>
      </c>
      <c r="O197" s="54">
        <v>0</v>
      </c>
      <c r="P197" s="55">
        <v>120</v>
      </c>
    </row>
    <row r="198" spans="2:16" x14ac:dyDescent="0.3">
      <c r="B198" s="51" t="s">
        <v>304</v>
      </c>
      <c r="C198" s="51" t="s">
        <v>16</v>
      </c>
      <c r="D198" s="53" t="s">
        <v>312</v>
      </c>
      <c r="E198" s="53" t="s">
        <v>3</v>
      </c>
      <c r="F198" s="53">
        <v>1</v>
      </c>
      <c r="G198" s="54">
        <v>4</v>
      </c>
      <c r="H198" s="54">
        <v>2</v>
      </c>
      <c r="I198" s="54">
        <v>2</v>
      </c>
      <c r="J198" s="54">
        <v>2</v>
      </c>
      <c r="K198" s="54">
        <v>2</v>
      </c>
      <c r="L198" s="55">
        <v>0</v>
      </c>
      <c r="M198" s="56">
        <v>0.5</v>
      </c>
      <c r="N198" s="56">
        <v>1</v>
      </c>
      <c r="O198" s="54">
        <v>0</v>
      </c>
      <c r="P198" s="55">
        <v>40</v>
      </c>
    </row>
    <row r="199" spans="2:16" x14ac:dyDescent="0.3">
      <c r="B199" s="51" t="s">
        <v>349</v>
      </c>
      <c r="C199" s="51" t="s">
        <v>16</v>
      </c>
      <c r="D199" s="53" t="s">
        <v>368</v>
      </c>
      <c r="E199" s="53" t="s">
        <v>3</v>
      </c>
      <c r="F199" s="53">
        <v>1</v>
      </c>
      <c r="G199" s="54">
        <v>4</v>
      </c>
      <c r="H199" s="54">
        <v>2</v>
      </c>
      <c r="I199" s="54">
        <v>2</v>
      </c>
      <c r="J199" s="54">
        <v>2</v>
      </c>
      <c r="K199" s="54">
        <v>2</v>
      </c>
      <c r="L199" s="55">
        <v>0</v>
      </c>
      <c r="M199" s="56">
        <v>0.5</v>
      </c>
      <c r="N199" s="56">
        <v>1</v>
      </c>
      <c r="O199" s="54">
        <v>0</v>
      </c>
      <c r="P199" s="55">
        <v>40</v>
      </c>
    </row>
    <row r="200" spans="2:16" x14ac:dyDescent="0.3">
      <c r="B200" s="51" t="s">
        <v>267</v>
      </c>
      <c r="C200" s="51" t="s">
        <v>9</v>
      </c>
      <c r="D200" s="53" t="s">
        <v>346</v>
      </c>
      <c r="E200" s="53" t="s">
        <v>3</v>
      </c>
      <c r="F200" s="53">
        <v>1</v>
      </c>
      <c r="G200" s="54">
        <v>4</v>
      </c>
      <c r="H200" s="54">
        <v>2</v>
      </c>
      <c r="I200" s="54">
        <v>0</v>
      </c>
      <c r="J200" s="54">
        <v>0</v>
      </c>
      <c r="K200" s="54">
        <v>4</v>
      </c>
      <c r="L200" s="55">
        <v>2</v>
      </c>
      <c r="M200" s="56">
        <v>0</v>
      </c>
      <c r="N200" s="56">
        <v>0</v>
      </c>
      <c r="O200" s="54">
        <v>0</v>
      </c>
      <c r="P200" s="55">
        <v>160</v>
      </c>
    </row>
    <row r="201" spans="2:16" x14ac:dyDescent="0.3">
      <c r="B201" s="51" t="s">
        <v>120</v>
      </c>
      <c r="C201" s="51" t="s">
        <v>86</v>
      </c>
      <c r="D201" s="53" t="s">
        <v>366</v>
      </c>
      <c r="E201" s="53" t="s">
        <v>3</v>
      </c>
      <c r="F201" s="53">
        <v>1</v>
      </c>
      <c r="G201" s="54">
        <v>4</v>
      </c>
      <c r="H201" s="54">
        <v>2</v>
      </c>
      <c r="I201" s="54">
        <v>0</v>
      </c>
      <c r="J201" s="54">
        <v>0</v>
      </c>
      <c r="K201" s="54">
        <v>4</v>
      </c>
      <c r="L201" s="55">
        <v>2</v>
      </c>
      <c r="M201" s="56">
        <v>0</v>
      </c>
      <c r="N201" s="56">
        <v>0</v>
      </c>
      <c r="O201" s="54">
        <v>0</v>
      </c>
      <c r="P201" s="55">
        <v>160</v>
      </c>
    </row>
    <row r="202" spans="2:16" x14ac:dyDescent="0.3">
      <c r="B202" s="51" t="s">
        <v>265</v>
      </c>
      <c r="C202" s="51" t="s">
        <v>534</v>
      </c>
      <c r="D202" s="53" t="s">
        <v>348</v>
      </c>
      <c r="E202" s="53" t="s">
        <v>3</v>
      </c>
      <c r="F202" s="53">
        <v>1</v>
      </c>
      <c r="G202" s="54">
        <v>4</v>
      </c>
      <c r="H202" s="54">
        <v>2</v>
      </c>
      <c r="I202" s="54">
        <v>0</v>
      </c>
      <c r="J202" s="54">
        <v>0</v>
      </c>
      <c r="K202" s="54">
        <v>4</v>
      </c>
      <c r="L202" s="55">
        <v>2</v>
      </c>
      <c r="M202" s="56">
        <v>0</v>
      </c>
      <c r="N202" s="56">
        <v>0</v>
      </c>
      <c r="O202" s="54">
        <v>0</v>
      </c>
      <c r="P202" s="55">
        <v>160</v>
      </c>
    </row>
    <row r="203" spans="2:16" x14ac:dyDescent="0.3">
      <c r="B203" s="51" t="s">
        <v>384</v>
      </c>
      <c r="C203" s="51" t="s">
        <v>534</v>
      </c>
      <c r="D203" s="53" t="s">
        <v>469</v>
      </c>
      <c r="E203" s="53" t="s">
        <v>3</v>
      </c>
      <c r="F203" s="53">
        <v>1</v>
      </c>
      <c r="G203" s="54">
        <v>4</v>
      </c>
      <c r="H203" s="54">
        <v>2</v>
      </c>
      <c r="I203" s="54">
        <v>0</v>
      </c>
      <c r="J203" s="54">
        <v>0</v>
      </c>
      <c r="K203" s="54">
        <v>4</v>
      </c>
      <c r="L203" s="55">
        <v>2</v>
      </c>
      <c r="M203" s="56">
        <v>0</v>
      </c>
      <c r="N203" s="56">
        <v>0</v>
      </c>
      <c r="O203" s="54">
        <v>0</v>
      </c>
      <c r="P203" s="55">
        <v>160</v>
      </c>
    </row>
    <row r="204" spans="2:16" x14ac:dyDescent="0.3">
      <c r="B204" s="51" t="s">
        <v>196</v>
      </c>
      <c r="C204" s="51" t="s">
        <v>534</v>
      </c>
      <c r="D204" s="53" t="s">
        <v>364</v>
      </c>
      <c r="E204" s="53" t="s">
        <v>3</v>
      </c>
      <c r="F204" s="53">
        <v>2</v>
      </c>
      <c r="G204" s="54">
        <v>8</v>
      </c>
      <c r="H204" s="54">
        <v>4</v>
      </c>
      <c r="I204" s="54">
        <v>1</v>
      </c>
      <c r="J204" s="54">
        <v>0</v>
      </c>
      <c r="K204" s="54">
        <v>7</v>
      </c>
      <c r="L204" s="55">
        <v>4</v>
      </c>
      <c r="M204" s="56">
        <v>0.125</v>
      </c>
      <c r="N204" s="56">
        <v>0</v>
      </c>
      <c r="O204" s="54">
        <v>0</v>
      </c>
      <c r="P204" s="55">
        <v>300</v>
      </c>
    </row>
    <row r="205" spans="2:16" x14ac:dyDescent="0.3">
      <c r="B205" s="51" t="s">
        <v>167</v>
      </c>
      <c r="C205" s="51" t="s">
        <v>534</v>
      </c>
      <c r="D205" s="53" t="s">
        <v>350</v>
      </c>
      <c r="E205" s="53" t="s">
        <v>3</v>
      </c>
      <c r="F205" s="53">
        <v>2</v>
      </c>
      <c r="G205" s="54">
        <v>8</v>
      </c>
      <c r="H205" s="54">
        <v>4</v>
      </c>
      <c r="I205" s="54">
        <v>0</v>
      </c>
      <c r="J205" s="54">
        <v>0</v>
      </c>
      <c r="K205" s="54">
        <v>8</v>
      </c>
      <c r="L205" s="55">
        <v>4</v>
      </c>
      <c r="M205" s="56">
        <v>0</v>
      </c>
      <c r="N205" s="56">
        <v>0</v>
      </c>
      <c r="O205" s="54">
        <v>0</v>
      </c>
      <c r="P205" s="55">
        <v>320</v>
      </c>
    </row>
    <row r="206" spans="2:16" x14ac:dyDescent="0.3">
      <c r="B206" s="51" t="s">
        <v>347</v>
      </c>
      <c r="C206" s="51" t="s">
        <v>534</v>
      </c>
      <c r="D206" s="53" t="s">
        <v>362</v>
      </c>
      <c r="E206" s="53" t="s">
        <v>3</v>
      </c>
      <c r="F206" s="53">
        <v>1</v>
      </c>
      <c r="G206" s="54">
        <v>4</v>
      </c>
      <c r="H206" s="54">
        <v>2</v>
      </c>
      <c r="I206" s="54">
        <v>1</v>
      </c>
      <c r="J206" s="54">
        <v>0</v>
      </c>
      <c r="K206" s="54">
        <v>3</v>
      </c>
      <c r="L206" s="55">
        <v>2</v>
      </c>
      <c r="M206" s="56">
        <v>0.25</v>
      </c>
      <c r="N206" s="56">
        <v>0</v>
      </c>
      <c r="O206" s="54">
        <v>0</v>
      </c>
      <c r="P206" s="55">
        <v>140</v>
      </c>
    </row>
    <row r="207" spans="2:16" x14ac:dyDescent="0.3">
      <c r="B207" s="51" t="s">
        <v>367</v>
      </c>
      <c r="C207" s="51" t="s">
        <v>170</v>
      </c>
      <c r="D207" s="53" t="s">
        <v>359</v>
      </c>
      <c r="E207" s="53" t="s">
        <v>3</v>
      </c>
      <c r="F207" s="53">
        <v>1</v>
      </c>
      <c r="G207" s="54">
        <v>4</v>
      </c>
      <c r="H207" s="54">
        <v>2</v>
      </c>
      <c r="I207" s="54">
        <v>0</v>
      </c>
      <c r="J207" s="54">
        <v>0</v>
      </c>
      <c r="K207" s="54">
        <v>4</v>
      </c>
      <c r="L207" s="55">
        <v>2</v>
      </c>
      <c r="M207" s="56">
        <v>0</v>
      </c>
      <c r="N207" s="56">
        <v>0</v>
      </c>
      <c r="O207" s="54">
        <v>0</v>
      </c>
      <c r="P207" s="55">
        <v>160</v>
      </c>
    </row>
    <row r="208" spans="2:16" x14ac:dyDescent="0.3">
      <c r="B208" s="51" t="s">
        <v>275</v>
      </c>
      <c r="C208" s="51" t="s">
        <v>36</v>
      </c>
      <c r="D208" s="53" t="s">
        <v>370</v>
      </c>
      <c r="E208" s="53" t="s">
        <v>3</v>
      </c>
      <c r="F208" s="53">
        <v>1</v>
      </c>
      <c r="G208" s="54">
        <v>4</v>
      </c>
      <c r="H208" s="54">
        <v>2</v>
      </c>
      <c r="I208" s="54">
        <v>0</v>
      </c>
      <c r="J208" s="54">
        <v>0</v>
      </c>
      <c r="K208" s="54">
        <v>4</v>
      </c>
      <c r="L208" s="55">
        <v>2</v>
      </c>
      <c r="M208" s="56">
        <v>0</v>
      </c>
      <c r="N208" s="56">
        <v>0</v>
      </c>
      <c r="O208" s="54">
        <v>0</v>
      </c>
      <c r="P208" s="55">
        <v>160</v>
      </c>
    </row>
    <row r="209" spans="2:16" x14ac:dyDescent="0.3">
      <c r="B209" s="51" t="s">
        <v>217</v>
      </c>
      <c r="C209" s="51" t="s">
        <v>36</v>
      </c>
      <c r="D209" s="53" t="s">
        <v>470</v>
      </c>
      <c r="E209" s="53" t="s">
        <v>3</v>
      </c>
      <c r="F209" s="53">
        <v>1</v>
      </c>
      <c r="G209" s="54">
        <v>4</v>
      </c>
      <c r="H209" s="54">
        <v>2</v>
      </c>
      <c r="I209" s="54">
        <v>0</v>
      </c>
      <c r="J209" s="54">
        <v>0</v>
      </c>
      <c r="K209" s="54">
        <v>4</v>
      </c>
      <c r="L209" s="55">
        <v>2</v>
      </c>
      <c r="M209" s="56">
        <v>0</v>
      </c>
      <c r="N209" s="56">
        <v>0</v>
      </c>
      <c r="O209" s="54">
        <v>0</v>
      </c>
      <c r="P209" s="55">
        <v>160</v>
      </c>
    </row>
    <row r="210" spans="2:16" x14ac:dyDescent="0.3">
      <c r="B210" s="51" t="s">
        <v>5</v>
      </c>
      <c r="C210" s="51" t="s">
        <v>6</v>
      </c>
      <c r="D210" s="53" t="s">
        <v>355</v>
      </c>
      <c r="E210" s="53" t="s">
        <v>3</v>
      </c>
      <c r="F210" s="53">
        <v>1</v>
      </c>
      <c r="G210" s="54">
        <v>4</v>
      </c>
      <c r="H210" s="54">
        <v>2</v>
      </c>
      <c r="I210" s="54">
        <v>3</v>
      </c>
      <c r="J210" s="54">
        <v>0</v>
      </c>
      <c r="K210" s="54">
        <v>1</v>
      </c>
      <c r="L210" s="55">
        <v>2</v>
      </c>
      <c r="M210" s="56">
        <v>0.75</v>
      </c>
      <c r="N210" s="56">
        <v>0</v>
      </c>
      <c r="O210" s="54">
        <v>0</v>
      </c>
      <c r="P210" s="55">
        <v>100</v>
      </c>
    </row>
    <row r="211" spans="2:16" x14ac:dyDescent="0.3">
      <c r="B211" s="51" t="s">
        <v>8</v>
      </c>
      <c r="C211" s="51" t="s">
        <v>9</v>
      </c>
      <c r="D211" s="53" t="s">
        <v>375</v>
      </c>
      <c r="E211" s="53" t="s">
        <v>10</v>
      </c>
      <c r="F211" s="53">
        <v>2</v>
      </c>
      <c r="G211" s="54">
        <v>16</v>
      </c>
      <c r="H211" s="54">
        <v>16</v>
      </c>
      <c r="I211" s="54">
        <v>23</v>
      </c>
      <c r="J211" s="54">
        <v>9</v>
      </c>
      <c r="K211" s="54">
        <v>-7</v>
      </c>
      <c r="L211" s="55">
        <v>7</v>
      </c>
      <c r="M211" s="56">
        <v>1.4375</v>
      </c>
      <c r="N211" s="56">
        <v>0.5625</v>
      </c>
      <c r="O211" s="54">
        <v>728</v>
      </c>
      <c r="P211" s="55">
        <v>140</v>
      </c>
    </row>
    <row r="212" spans="2:16" x14ac:dyDescent="0.3">
      <c r="B212" s="51" t="s">
        <v>108</v>
      </c>
      <c r="C212" s="51" t="s">
        <v>9</v>
      </c>
      <c r="D212" s="53" t="s">
        <v>372</v>
      </c>
      <c r="E212" s="53" t="s">
        <v>10</v>
      </c>
      <c r="F212" s="53">
        <v>2</v>
      </c>
      <c r="G212" s="54">
        <v>16</v>
      </c>
      <c r="H212" s="54">
        <v>16</v>
      </c>
      <c r="I212" s="54">
        <v>3</v>
      </c>
      <c r="J212" s="54">
        <v>0</v>
      </c>
      <c r="K212" s="54">
        <v>13</v>
      </c>
      <c r="L212" s="55">
        <v>16</v>
      </c>
      <c r="M212" s="56">
        <v>0.1875</v>
      </c>
      <c r="N212" s="56">
        <v>0</v>
      </c>
      <c r="O212" s="54">
        <v>0</v>
      </c>
      <c r="P212" s="55">
        <v>900</v>
      </c>
    </row>
    <row r="213" spans="2:16" x14ac:dyDescent="0.3">
      <c r="B213" s="51" t="s">
        <v>77</v>
      </c>
      <c r="C213" s="51" t="s">
        <v>6</v>
      </c>
      <c r="D213" s="53" t="s">
        <v>471</v>
      </c>
      <c r="E213" s="53" t="s">
        <v>10</v>
      </c>
      <c r="F213" s="53">
        <v>2</v>
      </c>
      <c r="G213" s="54">
        <v>16</v>
      </c>
      <c r="H213" s="54">
        <v>16</v>
      </c>
      <c r="I213" s="54">
        <v>10</v>
      </c>
      <c r="J213" s="54">
        <v>12</v>
      </c>
      <c r="K213" s="54">
        <v>6</v>
      </c>
      <c r="L213" s="55">
        <v>4</v>
      </c>
      <c r="M213" s="56">
        <v>0.625</v>
      </c>
      <c r="N213" s="56">
        <v>0.75</v>
      </c>
      <c r="O213" s="54">
        <v>480</v>
      </c>
      <c r="P213" s="55">
        <v>280</v>
      </c>
    </row>
    <row r="214" spans="2:16" x14ac:dyDescent="0.3">
      <c r="B214" s="51" t="s">
        <v>253</v>
      </c>
      <c r="C214" s="51" t="s">
        <v>6</v>
      </c>
      <c r="D214" s="53" t="s">
        <v>352</v>
      </c>
      <c r="E214" s="53" t="s">
        <v>3</v>
      </c>
      <c r="F214" s="53">
        <v>1</v>
      </c>
      <c r="G214" s="54">
        <v>4</v>
      </c>
      <c r="H214" s="54">
        <v>2</v>
      </c>
      <c r="I214" s="54">
        <v>2</v>
      </c>
      <c r="J214" s="54">
        <v>2</v>
      </c>
      <c r="K214" s="54">
        <v>2</v>
      </c>
      <c r="L214" s="55">
        <v>0</v>
      </c>
      <c r="M214" s="56">
        <v>0.5</v>
      </c>
      <c r="N214" s="56">
        <v>1</v>
      </c>
      <c r="O214" s="54">
        <v>80</v>
      </c>
      <c r="P214" s="55">
        <v>40</v>
      </c>
    </row>
    <row r="215" spans="2:16" x14ac:dyDescent="0.3">
      <c r="B215" s="51" t="s">
        <v>311</v>
      </c>
      <c r="C215" s="51" t="s">
        <v>133</v>
      </c>
      <c r="D215" s="53" t="s">
        <v>331</v>
      </c>
      <c r="E215" s="53" t="s">
        <v>3</v>
      </c>
      <c r="F215" s="53">
        <v>1</v>
      </c>
      <c r="G215" s="54">
        <v>4</v>
      </c>
      <c r="H215" s="54">
        <v>2</v>
      </c>
      <c r="I215" s="54">
        <v>0</v>
      </c>
      <c r="J215" s="54">
        <v>0</v>
      </c>
      <c r="K215" s="54">
        <v>4</v>
      </c>
      <c r="L215" s="55">
        <v>2</v>
      </c>
      <c r="M215" s="56">
        <v>0</v>
      </c>
      <c r="N215" s="56">
        <v>0</v>
      </c>
      <c r="O215" s="54">
        <v>0</v>
      </c>
      <c r="P215" s="55">
        <v>160</v>
      </c>
    </row>
    <row r="216" spans="2:16" x14ac:dyDescent="0.3">
      <c r="B216" s="51" t="s">
        <v>317</v>
      </c>
      <c r="C216" s="51" t="s">
        <v>170</v>
      </c>
      <c r="D216" s="53" t="s">
        <v>378</v>
      </c>
      <c r="E216" s="53" t="s">
        <v>3</v>
      </c>
      <c r="F216" s="53">
        <v>1</v>
      </c>
      <c r="G216" s="54">
        <v>4</v>
      </c>
      <c r="H216" s="54">
        <v>2</v>
      </c>
      <c r="I216" s="54">
        <v>0</v>
      </c>
      <c r="J216" s="54">
        <v>0</v>
      </c>
      <c r="K216" s="54">
        <v>4</v>
      </c>
      <c r="L216" s="55">
        <v>2</v>
      </c>
      <c r="M216" s="56">
        <v>0</v>
      </c>
      <c r="N216" s="56">
        <v>0</v>
      </c>
      <c r="O216" s="54">
        <v>0</v>
      </c>
      <c r="P216" s="55">
        <v>160</v>
      </c>
    </row>
    <row r="217" spans="2:16" x14ac:dyDescent="0.3">
      <c r="B217" s="51" t="s">
        <v>374</v>
      </c>
      <c r="C217" s="51" t="s">
        <v>133</v>
      </c>
      <c r="D217" s="53" t="s">
        <v>357</v>
      </c>
      <c r="E217" s="53" t="s">
        <v>3</v>
      </c>
      <c r="F217" s="53">
        <v>1</v>
      </c>
      <c r="G217" s="54">
        <v>4</v>
      </c>
      <c r="H217" s="54">
        <v>2</v>
      </c>
      <c r="I217" s="54">
        <v>0</v>
      </c>
      <c r="J217" s="54">
        <v>0</v>
      </c>
      <c r="K217" s="54">
        <v>4</v>
      </c>
      <c r="L217" s="55">
        <v>2</v>
      </c>
      <c r="M217" s="56">
        <v>0</v>
      </c>
      <c r="N217" s="56">
        <v>0</v>
      </c>
      <c r="O217" s="54">
        <v>0</v>
      </c>
      <c r="P217" s="55">
        <v>160</v>
      </c>
    </row>
    <row r="218" spans="2:16" x14ac:dyDescent="0.3">
      <c r="B218" s="51" t="s">
        <v>392</v>
      </c>
      <c r="C218" s="51" t="s">
        <v>133</v>
      </c>
      <c r="D218" s="53" t="s">
        <v>472</v>
      </c>
      <c r="E218" s="53" t="s">
        <v>3</v>
      </c>
      <c r="F218" s="53">
        <v>1</v>
      </c>
      <c r="G218" s="54">
        <v>4</v>
      </c>
      <c r="H218" s="54">
        <v>2</v>
      </c>
      <c r="I218" s="54">
        <v>0</v>
      </c>
      <c r="J218" s="54">
        <v>0</v>
      </c>
      <c r="K218" s="54">
        <v>4</v>
      </c>
      <c r="L218" s="55">
        <v>2</v>
      </c>
      <c r="M218" s="56">
        <v>0</v>
      </c>
      <c r="N218" s="56">
        <v>0</v>
      </c>
      <c r="O218" s="54">
        <v>0</v>
      </c>
      <c r="P218" s="55">
        <v>160</v>
      </c>
    </row>
    <row r="219" spans="2:16" x14ac:dyDescent="0.3">
      <c r="B219" s="51" t="s">
        <v>227</v>
      </c>
      <c r="C219" s="51" t="s">
        <v>133</v>
      </c>
      <c r="D219" s="53" t="s">
        <v>380</v>
      </c>
      <c r="E219" s="53" t="s">
        <v>3</v>
      </c>
      <c r="F219" s="53">
        <v>1</v>
      </c>
      <c r="G219" s="54">
        <v>4</v>
      </c>
      <c r="H219" s="54">
        <v>2</v>
      </c>
      <c r="I219" s="54">
        <v>0</v>
      </c>
      <c r="J219" s="54">
        <v>0</v>
      </c>
      <c r="K219" s="54">
        <v>4</v>
      </c>
      <c r="L219" s="55">
        <v>2</v>
      </c>
      <c r="M219" s="56">
        <v>0</v>
      </c>
      <c r="N219" s="56">
        <v>0</v>
      </c>
      <c r="O219" s="54">
        <v>0</v>
      </c>
      <c r="P219" s="55">
        <v>160</v>
      </c>
    </row>
    <row r="220" spans="2:16" x14ac:dyDescent="0.3">
      <c r="B220" s="51" t="s">
        <v>277</v>
      </c>
      <c r="C220" s="51" t="s">
        <v>13</v>
      </c>
      <c r="D220" s="53" t="s">
        <v>473</v>
      </c>
      <c r="E220" s="53" t="s">
        <v>3</v>
      </c>
      <c r="F220" s="53">
        <v>1</v>
      </c>
      <c r="G220" s="54">
        <v>4</v>
      </c>
      <c r="H220" s="54">
        <v>2</v>
      </c>
      <c r="I220" s="54">
        <v>0</v>
      </c>
      <c r="J220" s="54">
        <v>0</v>
      </c>
      <c r="K220" s="54">
        <v>4</v>
      </c>
      <c r="L220" s="55">
        <v>2</v>
      </c>
      <c r="M220" s="56">
        <v>0</v>
      </c>
      <c r="N220" s="56">
        <v>0</v>
      </c>
      <c r="O220" s="54">
        <v>0</v>
      </c>
      <c r="P220" s="55">
        <v>160</v>
      </c>
    </row>
    <row r="221" spans="2:16" x14ac:dyDescent="0.3">
      <c r="B221" s="51" t="s">
        <v>408</v>
      </c>
      <c r="C221" s="51" t="s">
        <v>6</v>
      </c>
      <c r="D221" s="53" t="s">
        <v>474</v>
      </c>
      <c r="E221" s="53" t="s">
        <v>10</v>
      </c>
      <c r="F221" s="53">
        <v>1</v>
      </c>
      <c r="G221" s="54">
        <v>8</v>
      </c>
      <c r="H221" s="54">
        <v>8</v>
      </c>
      <c r="I221" s="54">
        <v>1</v>
      </c>
      <c r="J221" s="54">
        <v>3</v>
      </c>
      <c r="K221" s="54">
        <v>7</v>
      </c>
      <c r="L221" s="55">
        <v>5</v>
      </c>
      <c r="M221" s="56">
        <v>0.125</v>
      </c>
      <c r="N221" s="56">
        <v>0.375</v>
      </c>
      <c r="O221" s="54">
        <v>125</v>
      </c>
      <c r="P221" s="55">
        <v>340</v>
      </c>
    </row>
    <row r="222" spans="2:16" x14ac:dyDescent="0.3">
      <c r="B222" s="51" t="s">
        <v>411</v>
      </c>
      <c r="C222" s="51" t="s">
        <v>6</v>
      </c>
      <c r="D222" s="53" t="s">
        <v>475</v>
      </c>
      <c r="E222" s="53" t="s">
        <v>10</v>
      </c>
      <c r="F222" s="53">
        <v>1</v>
      </c>
      <c r="G222" s="54">
        <v>8</v>
      </c>
      <c r="H222" s="54">
        <v>8</v>
      </c>
      <c r="I222" s="54">
        <v>0</v>
      </c>
      <c r="J222" s="54">
        <v>0</v>
      </c>
      <c r="K222" s="54">
        <v>8</v>
      </c>
      <c r="L222" s="55">
        <v>8</v>
      </c>
      <c r="M222" s="56">
        <v>0</v>
      </c>
      <c r="N222" s="56">
        <v>0</v>
      </c>
      <c r="O222" s="54">
        <v>0</v>
      </c>
      <c r="P222" s="55">
        <v>480</v>
      </c>
    </row>
    <row r="223" spans="2:16" x14ac:dyDescent="0.3">
      <c r="B223" s="51" t="s">
        <v>410</v>
      </c>
      <c r="C223" s="51" t="s">
        <v>13</v>
      </c>
      <c r="D223" s="53" t="s">
        <v>476</v>
      </c>
      <c r="E223" s="53" t="s">
        <v>10</v>
      </c>
      <c r="F223" s="53">
        <v>1</v>
      </c>
      <c r="G223" s="54">
        <v>8</v>
      </c>
      <c r="H223" s="54">
        <v>8</v>
      </c>
      <c r="I223" s="54">
        <v>0</v>
      </c>
      <c r="J223" s="54">
        <v>0</v>
      </c>
      <c r="K223" s="54">
        <v>8</v>
      </c>
      <c r="L223" s="55">
        <v>8</v>
      </c>
      <c r="M223" s="56">
        <v>0</v>
      </c>
      <c r="N223" s="56">
        <v>0</v>
      </c>
      <c r="O223" s="54">
        <v>0</v>
      </c>
      <c r="P223" s="55">
        <v>480</v>
      </c>
    </row>
    <row r="224" spans="2:16" x14ac:dyDescent="0.3">
      <c r="B224" s="51" t="s">
        <v>412</v>
      </c>
      <c r="C224" s="51" t="s">
        <v>42</v>
      </c>
      <c r="D224" s="53" t="s">
        <v>477</v>
      </c>
      <c r="E224" s="53" t="s">
        <v>3</v>
      </c>
      <c r="F224" s="53">
        <v>1</v>
      </c>
      <c r="G224" s="54">
        <v>4</v>
      </c>
      <c r="H224" s="54">
        <v>2</v>
      </c>
      <c r="I224" s="54">
        <v>0</v>
      </c>
      <c r="J224" s="54">
        <v>0</v>
      </c>
      <c r="K224" s="54">
        <v>4</v>
      </c>
      <c r="L224" s="55">
        <v>2</v>
      </c>
      <c r="M224" s="56">
        <v>0</v>
      </c>
      <c r="N224" s="56">
        <v>0</v>
      </c>
      <c r="O224" s="54">
        <v>0</v>
      </c>
      <c r="P224" s="55">
        <v>160</v>
      </c>
    </row>
    <row r="225" spans="2:16" x14ac:dyDescent="0.3">
      <c r="B225" s="51" t="s">
        <v>414</v>
      </c>
      <c r="C225" s="51" t="s">
        <v>13</v>
      </c>
      <c r="D225" s="53" t="s">
        <v>478</v>
      </c>
      <c r="E225" s="53" t="s">
        <v>3</v>
      </c>
      <c r="F225" s="53">
        <v>1</v>
      </c>
      <c r="G225" s="54">
        <v>4</v>
      </c>
      <c r="H225" s="54">
        <v>2</v>
      </c>
      <c r="I225" s="54">
        <v>0</v>
      </c>
      <c r="J225" s="54">
        <v>0</v>
      </c>
      <c r="K225" s="54">
        <v>4</v>
      </c>
      <c r="L225" s="55">
        <v>2</v>
      </c>
      <c r="M225" s="56">
        <v>0</v>
      </c>
      <c r="N225" s="56">
        <v>0</v>
      </c>
      <c r="O225" s="54">
        <v>0</v>
      </c>
      <c r="P225" s="55">
        <v>160</v>
      </c>
    </row>
    <row r="226" spans="2:16" x14ac:dyDescent="0.3">
      <c r="B226" s="51" t="s">
        <v>434</v>
      </c>
      <c r="C226" s="51" t="s">
        <v>13</v>
      </c>
      <c r="D226" s="53" t="s">
        <v>479</v>
      </c>
      <c r="E226" s="53" t="s">
        <v>10</v>
      </c>
      <c r="F226" s="53">
        <v>1</v>
      </c>
      <c r="G226" s="54">
        <v>8</v>
      </c>
      <c r="H226" s="54">
        <v>8</v>
      </c>
      <c r="I226" s="54">
        <v>3</v>
      </c>
      <c r="J226" s="54">
        <v>0</v>
      </c>
      <c r="K226" s="54">
        <v>5</v>
      </c>
      <c r="L226" s="55">
        <v>8</v>
      </c>
      <c r="M226" s="56">
        <v>0.375</v>
      </c>
      <c r="N226" s="56">
        <v>0</v>
      </c>
      <c r="O226" s="54">
        <v>0</v>
      </c>
      <c r="P226" s="55">
        <v>420</v>
      </c>
    </row>
    <row r="227" spans="2:16" x14ac:dyDescent="0.3">
      <c r="B227" s="51" t="s">
        <v>415</v>
      </c>
      <c r="C227" s="51" t="s">
        <v>42</v>
      </c>
      <c r="D227" s="53" t="s">
        <v>480</v>
      </c>
      <c r="E227" s="53" t="s">
        <v>10</v>
      </c>
      <c r="F227" s="53">
        <v>1</v>
      </c>
      <c r="G227" s="54">
        <v>8</v>
      </c>
      <c r="H227" s="54">
        <v>8</v>
      </c>
      <c r="I227" s="54">
        <v>0</v>
      </c>
      <c r="J227" s="54">
        <v>0</v>
      </c>
      <c r="K227" s="54">
        <v>8</v>
      </c>
      <c r="L227" s="55">
        <v>8</v>
      </c>
      <c r="M227" s="56">
        <v>0</v>
      </c>
      <c r="N227" s="56">
        <v>0</v>
      </c>
      <c r="O227" s="54">
        <v>0</v>
      </c>
      <c r="P227" s="55">
        <v>480</v>
      </c>
    </row>
    <row r="228" spans="2:16" x14ac:dyDescent="0.3">
      <c r="B228" s="51" t="s">
        <v>421</v>
      </c>
      <c r="C228" s="51" t="s">
        <v>42</v>
      </c>
      <c r="D228" s="53" t="s">
        <v>481</v>
      </c>
      <c r="E228" s="53" t="s">
        <v>3</v>
      </c>
      <c r="F228" s="53">
        <v>1</v>
      </c>
      <c r="G228" s="54">
        <v>4</v>
      </c>
      <c r="H228" s="54">
        <v>2</v>
      </c>
      <c r="I228" s="54">
        <v>0</v>
      </c>
      <c r="J228" s="54">
        <v>0</v>
      </c>
      <c r="K228" s="54">
        <v>4</v>
      </c>
      <c r="L228" s="55">
        <v>2</v>
      </c>
      <c r="M228" s="56">
        <v>0</v>
      </c>
      <c r="N228" s="56">
        <v>0</v>
      </c>
      <c r="O228" s="54">
        <v>0</v>
      </c>
      <c r="P228" s="55">
        <v>160</v>
      </c>
    </row>
    <row r="229" spans="2:16" x14ac:dyDescent="0.3">
      <c r="B229" s="51" t="s">
        <v>425</v>
      </c>
      <c r="C229" s="51" t="s">
        <v>42</v>
      </c>
      <c r="D229" s="53" t="s">
        <v>482</v>
      </c>
      <c r="E229" s="53" t="s">
        <v>3</v>
      </c>
      <c r="F229" s="53">
        <v>1</v>
      </c>
      <c r="G229" s="54">
        <v>4</v>
      </c>
      <c r="H229" s="54">
        <v>2</v>
      </c>
      <c r="I229" s="54">
        <v>0</v>
      </c>
      <c r="J229" s="54">
        <v>0</v>
      </c>
      <c r="K229" s="54">
        <v>4</v>
      </c>
      <c r="L229" s="55">
        <v>2</v>
      </c>
      <c r="M229" s="56">
        <v>0</v>
      </c>
      <c r="N229" s="56">
        <v>0</v>
      </c>
      <c r="O229" s="54">
        <v>0</v>
      </c>
      <c r="P229" s="55">
        <v>160</v>
      </c>
    </row>
    <row r="230" spans="2:16" x14ac:dyDescent="0.3">
      <c r="B230" s="51" t="s">
        <v>293</v>
      </c>
      <c r="C230" s="51" t="s">
        <v>133</v>
      </c>
      <c r="D230" s="53" t="s">
        <v>382</v>
      </c>
      <c r="E230" s="53" t="s">
        <v>3</v>
      </c>
      <c r="F230" s="53">
        <v>1</v>
      </c>
      <c r="G230" s="54">
        <v>4</v>
      </c>
      <c r="H230" s="54">
        <v>2</v>
      </c>
      <c r="I230" s="54">
        <v>0</v>
      </c>
      <c r="J230" s="54">
        <v>0</v>
      </c>
      <c r="K230" s="54">
        <v>4</v>
      </c>
      <c r="L230" s="55">
        <v>2</v>
      </c>
      <c r="M230" s="56">
        <v>0</v>
      </c>
      <c r="N230" s="56">
        <v>0</v>
      </c>
      <c r="O230" s="54">
        <v>0</v>
      </c>
      <c r="P230" s="55">
        <v>160</v>
      </c>
    </row>
    <row r="231" spans="2:16" x14ac:dyDescent="0.3">
      <c r="B231" s="51" t="s">
        <v>420</v>
      </c>
      <c r="C231" s="51" t="s">
        <v>2</v>
      </c>
      <c r="D231" s="53" t="s">
        <v>484</v>
      </c>
      <c r="E231" s="53" t="s">
        <v>3</v>
      </c>
      <c r="F231" s="53">
        <v>1</v>
      </c>
      <c r="G231" s="54">
        <v>4</v>
      </c>
      <c r="H231" s="54">
        <v>2</v>
      </c>
      <c r="I231" s="54">
        <v>0</v>
      </c>
      <c r="J231" s="54">
        <v>0</v>
      </c>
      <c r="K231" s="54">
        <v>4</v>
      </c>
      <c r="L231" s="55">
        <v>2</v>
      </c>
      <c r="M231" s="56">
        <v>0</v>
      </c>
      <c r="N231" s="56">
        <v>0</v>
      </c>
      <c r="O231" s="54">
        <v>0</v>
      </c>
      <c r="P231" s="55">
        <v>160</v>
      </c>
    </row>
    <row r="232" spans="2:16" x14ac:dyDescent="0.3">
      <c r="B232" s="51" t="s">
        <v>418</v>
      </c>
      <c r="C232" s="51" t="s">
        <v>389</v>
      </c>
      <c r="D232" s="53" t="s">
        <v>485</v>
      </c>
      <c r="E232" s="53" t="s">
        <v>3</v>
      </c>
      <c r="F232" s="53">
        <v>1</v>
      </c>
      <c r="G232" s="54">
        <v>4</v>
      </c>
      <c r="H232" s="54">
        <v>2</v>
      </c>
      <c r="I232" s="54">
        <v>0</v>
      </c>
      <c r="J232" s="54">
        <v>0</v>
      </c>
      <c r="K232" s="54">
        <v>4</v>
      </c>
      <c r="L232" s="55">
        <v>2</v>
      </c>
      <c r="M232" s="56">
        <v>0</v>
      </c>
      <c r="N232" s="56">
        <v>0</v>
      </c>
      <c r="O232" s="54">
        <v>0</v>
      </c>
      <c r="P232" s="55">
        <v>160</v>
      </c>
    </row>
    <row r="233" spans="2:16" x14ac:dyDescent="0.3">
      <c r="B233" s="51" t="s">
        <v>422</v>
      </c>
      <c r="C233" s="51" t="s">
        <v>9</v>
      </c>
      <c r="D233" s="53" t="s">
        <v>486</v>
      </c>
      <c r="E233" s="53" t="s">
        <v>17</v>
      </c>
      <c r="F233" s="53">
        <v>1</v>
      </c>
      <c r="G233" s="54">
        <v>6</v>
      </c>
      <c r="H233" s="54">
        <v>6</v>
      </c>
      <c r="I233" s="54">
        <v>0</v>
      </c>
      <c r="J233" s="54">
        <v>0</v>
      </c>
      <c r="K233" s="54">
        <v>6</v>
      </c>
      <c r="L233" s="55">
        <v>6</v>
      </c>
      <c r="M233" s="56">
        <v>0</v>
      </c>
      <c r="N233" s="56">
        <v>0</v>
      </c>
      <c r="O233" s="54">
        <v>0</v>
      </c>
      <c r="P233" s="55">
        <v>360</v>
      </c>
    </row>
    <row r="234" spans="2:16" x14ac:dyDescent="0.3">
      <c r="B234" s="51" t="s">
        <v>423</v>
      </c>
      <c r="C234" s="51" t="s">
        <v>9</v>
      </c>
      <c r="D234" s="53" t="s">
        <v>487</v>
      </c>
      <c r="E234" s="53" t="s">
        <v>17</v>
      </c>
      <c r="F234" s="53">
        <v>1</v>
      </c>
      <c r="G234" s="54">
        <v>6</v>
      </c>
      <c r="H234" s="54">
        <v>6</v>
      </c>
      <c r="I234" s="54">
        <v>0</v>
      </c>
      <c r="J234" s="54">
        <v>0</v>
      </c>
      <c r="K234" s="54">
        <v>6</v>
      </c>
      <c r="L234" s="55">
        <v>6</v>
      </c>
      <c r="M234" s="56">
        <v>0</v>
      </c>
      <c r="N234" s="56">
        <v>0</v>
      </c>
      <c r="O234" s="54">
        <v>0</v>
      </c>
      <c r="P234" s="55">
        <v>360</v>
      </c>
    </row>
    <row r="235" spans="2:16" x14ac:dyDescent="0.3">
      <c r="B235" s="51" t="s">
        <v>419</v>
      </c>
      <c r="C235" s="51" t="s">
        <v>13</v>
      </c>
      <c r="D235" s="53" t="s">
        <v>488</v>
      </c>
      <c r="E235" s="53" t="s">
        <v>17</v>
      </c>
      <c r="F235" s="53">
        <v>1</v>
      </c>
      <c r="G235" s="54">
        <v>6</v>
      </c>
      <c r="H235" s="54">
        <v>6</v>
      </c>
      <c r="I235" s="54">
        <v>0</v>
      </c>
      <c r="J235" s="54">
        <v>0</v>
      </c>
      <c r="K235" s="54">
        <v>6</v>
      </c>
      <c r="L235" s="55">
        <v>6</v>
      </c>
      <c r="M235" s="56">
        <v>0</v>
      </c>
      <c r="N235" s="56">
        <v>0</v>
      </c>
      <c r="O235" s="54">
        <v>0</v>
      </c>
      <c r="P235" s="55">
        <v>360</v>
      </c>
    </row>
    <row r="236" spans="2:16" x14ac:dyDescent="0.3">
      <c r="B236" s="51" t="s">
        <v>424</v>
      </c>
      <c r="C236" s="51" t="s">
        <v>2</v>
      </c>
      <c r="D236" s="53" t="s">
        <v>489</v>
      </c>
      <c r="E236" s="53" t="s">
        <v>3</v>
      </c>
      <c r="F236" s="53">
        <v>1</v>
      </c>
      <c r="G236" s="54">
        <v>4</v>
      </c>
      <c r="H236" s="54">
        <v>2</v>
      </c>
      <c r="I236" s="54">
        <v>0</v>
      </c>
      <c r="J236" s="54">
        <v>0</v>
      </c>
      <c r="K236" s="54">
        <v>4</v>
      </c>
      <c r="L236" s="55">
        <v>2</v>
      </c>
      <c r="M236" s="56">
        <v>0</v>
      </c>
      <c r="N236" s="56">
        <v>0</v>
      </c>
      <c r="O236" s="54">
        <v>0</v>
      </c>
      <c r="P236" s="55">
        <v>160</v>
      </c>
    </row>
    <row r="237" spans="2:16" x14ac:dyDescent="0.3">
      <c r="B237" s="51" t="s">
        <v>435</v>
      </c>
      <c r="C237" s="51" t="s">
        <v>42</v>
      </c>
      <c r="D237" s="53" t="s">
        <v>490</v>
      </c>
      <c r="E237" s="53" t="s">
        <v>3</v>
      </c>
      <c r="F237" s="53">
        <v>1</v>
      </c>
      <c r="G237" s="54">
        <v>4</v>
      </c>
      <c r="H237" s="54">
        <v>2</v>
      </c>
      <c r="I237" s="54">
        <v>0</v>
      </c>
      <c r="J237" s="54">
        <v>0</v>
      </c>
      <c r="K237" s="54">
        <v>4</v>
      </c>
      <c r="L237" s="55">
        <v>2</v>
      </c>
      <c r="M237" s="56">
        <v>0</v>
      </c>
      <c r="N237" s="56">
        <v>0</v>
      </c>
      <c r="O237" s="54">
        <v>0</v>
      </c>
      <c r="P237" s="55">
        <v>160</v>
      </c>
    </row>
    <row r="238" spans="2:16" x14ac:dyDescent="0.3">
      <c r="B238" s="51" t="s">
        <v>436</v>
      </c>
      <c r="C238" s="51" t="s">
        <v>16</v>
      </c>
      <c r="D238" s="53" t="s">
        <v>491</v>
      </c>
      <c r="E238" s="53" t="s">
        <v>10</v>
      </c>
      <c r="F238" s="53">
        <v>1</v>
      </c>
      <c r="G238" s="54">
        <v>8</v>
      </c>
      <c r="H238" s="54">
        <v>8</v>
      </c>
      <c r="I238" s="54">
        <v>0</v>
      </c>
      <c r="J238" s="54">
        <v>0</v>
      </c>
      <c r="K238" s="54">
        <v>8</v>
      </c>
      <c r="L238" s="55">
        <v>8</v>
      </c>
      <c r="M238" s="56">
        <v>0</v>
      </c>
      <c r="N238" s="56">
        <v>0</v>
      </c>
      <c r="O238" s="54">
        <v>0</v>
      </c>
      <c r="P238" s="55">
        <v>480</v>
      </c>
    </row>
    <row r="239" spans="2:16" x14ac:dyDescent="0.3">
      <c r="B239" s="51" t="s">
        <v>437</v>
      </c>
      <c r="C239" s="51" t="s">
        <v>9</v>
      </c>
      <c r="D239" s="53" t="s">
        <v>492</v>
      </c>
      <c r="E239" s="53" t="s">
        <v>10</v>
      </c>
      <c r="F239" s="53">
        <v>1</v>
      </c>
      <c r="G239" s="54">
        <v>8</v>
      </c>
      <c r="H239" s="54">
        <v>8</v>
      </c>
      <c r="I239" s="54">
        <v>0</v>
      </c>
      <c r="J239" s="54">
        <v>0</v>
      </c>
      <c r="K239" s="54">
        <v>8</v>
      </c>
      <c r="L239" s="55">
        <v>8</v>
      </c>
      <c r="M239" s="56">
        <v>0</v>
      </c>
      <c r="N239" s="56">
        <v>0</v>
      </c>
      <c r="O239" s="54">
        <v>0</v>
      </c>
      <c r="P239" s="55">
        <v>480</v>
      </c>
    </row>
    <row r="240" spans="2:16" x14ac:dyDescent="0.3">
      <c r="B240" s="51" t="s">
        <v>438</v>
      </c>
      <c r="C240" s="51" t="s">
        <v>13</v>
      </c>
      <c r="D240" s="53" t="s">
        <v>493</v>
      </c>
      <c r="E240" s="53" t="s">
        <v>17</v>
      </c>
      <c r="F240" s="53">
        <v>1</v>
      </c>
      <c r="G240" s="54">
        <v>6</v>
      </c>
      <c r="H240" s="54">
        <v>6</v>
      </c>
      <c r="I240" s="54">
        <v>0</v>
      </c>
      <c r="J240" s="54">
        <v>0</v>
      </c>
      <c r="K240" s="54">
        <v>6</v>
      </c>
      <c r="L240" s="55">
        <v>6</v>
      </c>
      <c r="M240" s="56">
        <v>0</v>
      </c>
      <c r="N240" s="56">
        <v>0</v>
      </c>
      <c r="O240" s="54">
        <v>0</v>
      </c>
      <c r="P240" s="55">
        <v>360</v>
      </c>
    </row>
    <row r="241" spans="2:16" x14ac:dyDescent="0.3">
      <c r="B241" s="50" t="s">
        <v>517</v>
      </c>
      <c r="C241" s="60" t="s">
        <v>534</v>
      </c>
      <c r="D241" s="52" t="s">
        <v>535</v>
      </c>
      <c r="E241" s="52" t="s">
        <v>17</v>
      </c>
      <c r="F241" s="53">
        <v>1</v>
      </c>
      <c r="G241" s="53">
        <v>6</v>
      </c>
      <c r="H241" s="53">
        <v>6</v>
      </c>
      <c r="I241" s="53">
        <v>0</v>
      </c>
      <c r="J241" s="53">
        <v>0</v>
      </c>
      <c r="K241" s="52">
        <v>6</v>
      </c>
      <c r="L241" s="61">
        <v>6</v>
      </c>
      <c r="M241" s="30">
        <v>0</v>
      </c>
      <c r="N241" s="30">
        <v>0</v>
      </c>
      <c r="O241" s="32">
        <v>0</v>
      </c>
      <c r="P241" s="30">
        <v>360</v>
      </c>
    </row>
    <row r="242" spans="2:16" x14ac:dyDescent="0.3">
      <c r="B242" s="50" t="s">
        <v>514</v>
      </c>
      <c r="C242" s="60" t="s">
        <v>16</v>
      </c>
      <c r="D242" s="52" t="s">
        <v>536</v>
      </c>
      <c r="E242" s="52" t="s">
        <v>3</v>
      </c>
      <c r="F242" s="53">
        <v>1</v>
      </c>
      <c r="G242" s="53">
        <v>4</v>
      </c>
      <c r="H242" s="53">
        <v>2</v>
      </c>
      <c r="I242" s="53">
        <v>0</v>
      </c>
      <c r="J242" s="53">
        <v>0</v>
      </c>
      <c r="K242" s="52">
        <v>4</v>
      </c>
      <c r="L242" s="61">
        <v>2</v>
      </c>
      <c r="M242" s="30">
        <v>0</v>
      </c>
      <c r="N242" s="30">
        <v>0</v>
      </c>
      <c r="O242" s="32">
        <v>0</v>
      </c>
      <c r="P242" s="30">
        <v>160</v>
      </c>
    </row>
    <row r="243" spans="2:16" x14ac:dyDescent="0.3">
      <c r="B243" s="50" t="s">
        <v>513</v>
      </c>
      <c r="C243" s="60" t="s">
        <v>13</v>
      </c>
      <c r="D243" s="52" t="s">
        <v>537</v>
      </c>
      <c r="E243" s="52" t="s">
        <v>3</v>
      </c>
      <c r="F243" s="53">
        <v>1</v>
      </c>
      <c r="G243" s="53">
        <v>4</v>
      </c>
      <c r="H243" s="53">
        <v>2</v>
      </c>
      <c r="I243" s="53">
        <v>0</v>
      </c>
      <c r="J243" s="53">
        <v>0</v>
      </c>
      <c r="K243" s="52">
        <v>4</v>
      </c>
      <c r="L243" s="61">
        <v>2</v>
      </c>
      <c r="M243" s="30">
        <v>0</v>
      </c>
      <c r="N243" s="30">
        <v>0</v>
      </c>
      <c r="O243" s="32">
        <v>0</v>
      </c>
      <c r="P243" s="30">
        <v>160</v>
      </c>
    </row>
    <row r="244" spans="2:16" x14ac:dyDescent="0.3">
      <c r="B244" s="50" t="s">
        <v>516</v>
      </c>
      <c r="C244" s="60" t="s">
        <v>2</v>
      </c>
      <c r="D244" s="52" t="s">
        <v>538</v>
      </c>
      <c r="E244" s="52" t="s">
        <v>3</v>
      </c>
      <c r="F244" s="53">
        <v>1</v>
      </c>
      <c r="G244" s="53">
        <v>4</v>
      </c>
      <c r="H244" s="53">
        <v>2</v>
      </c>
      <c r="I244" s="53">
        <v>0</v>
      </c>
      <c r="J244" s="53">
        <v>0</v>
      </c>
      <c r="K244" s="52">
        <v>4</v>
      </c>
      <c r="L244" s="61">
        <v>2</v>
      </c>
      <c r="M244" s="30">
        <v>0</v>
      </c>
      <c r="N244" s="30">
        <v>0</v>
      </c>
      <c r="O244" s="32">
        <v>0</v>
      </c>
      <c r="P244" s="30">
        <v>160</v>
      </c>
    </row>
    <row r="245" spans="2:16" x14ac:dyDescent="0.3">
      <c r="B245" s="50" t="s">
        <v>512</v>
      </c>
      <c r="C245" s="60" t="s">
        <v>9</v>
      </c>
      <c r="D245" s="52" t="s">
        <v>539</v>
      </c>
      <c r="E245" s="52" t="s">
        <v>10</v>
      </c>
      <c r="F245" s="53">
        <v>1</v>
      </c>
      <c r="G245" s="53">
        <v>8</v>
      </c>
      <c r="H245" s="53">
        <v>8</v>
      </c>
      <c r="I245" s="53">
        <v>0</v>
      </c>
      <c r="J245" s="53">
        <v>0</v>
      </c>
      <c r="K245" s="52">
        <v>8</v>
      </c>
      <c r="L245" s="61">
        <v>8</v>
      </c>
      <c r="M245" s="30">
        <v>0</v>
      </c>
      <c r="N245" s="30">
        <v>0</v>
      </c>
      <c r="O245" s="32">
        <v>0</v>
      </c>
      <c r="P245" s="30">
        <v>480</v>
      </c>
    </row>
    <row r="246" spans="2:16" x14ac:dyDescent="0.3">
      <c r="B246" s="50" t="s">
        <v>510</v>
      </c>
      <c r="C246" s="60" t="s">
        <v>9</v>
      </c>
      <c r="D246" s="52" t="s">
        <v>540</v>
      </c>
      <c r="E246" s="52" t="s">
        <v>10</v>
      </c>
      <c r="F246" s="53">
        <v>1</v>
      </c>
      <c r="G246" s="53">
        <v>8</v>
      </c>
      <c r="H246" s="53">
        <v>8</v>
      </c>
      <c r="I246" s="53">
        <v>0</v>
      </c>
      <c r="J246" s="53">
        <v>0</v>
      </c>
      <c r="K246" s="52">
        <v>8</v>
      </c>
      <c r="L246" s="61">
        <v>8</v>
      </c>
      <c r="M246" s="30">
        <v>0</v>
      </c>
      <c r="N246" s="30">
        <v>0</v>
      </c>
      <c r="O246" s="32">
        <v>0</v>
      </c>
      <c r="P246" s="30">
        <v>480</v>
      </c>
    </row>
    <row r="247" spans="2:16" x14ac:dyDescent="0.3">
      <c r="B247" s="50" t="s">
        <v>531</v>
      </c>
      <c r="C247" s="60" t="s">
        <v>2</v>
      </c>
      <c r="D247" s="52" t="s">
        <v>541</v>
      </c>
      <c r="E247" s="52" t="s">
        <v>3</v>
      </c>
      <c r="F247" s="53">
        <v>1</v>
      </c>
      <c r="G247" s="53">
        <v>4</v>
      </c>
      <c r="H247" s="53">
        <v>2</v>
      </c>
      <c r="I247" s="53">
        <v>0</v>
      </c>
      <c r="J247" s="53">
        <v>0</v>
      </c>
      <c r="K247" s="52">
        <v>4</v>
      </c>
      <c r="L247" s="61">
        <v>2</v>
      </c>
      <c r="M247" s="30">
        <v>0</v>
      </c>
      <c r="N247" s="30">
        <v>0</v>
      </c>
      <c r="O247" s="32">
        <v>0</v>
      </c>
      <c r="P247" s="30">
        <v>160</v>
      </c>
    </row>
    <row r="248" spans="2:16" x14ac:dyDescent="0.3">
      <c r="B248" s="50" t="s">
        <v>532</v>
      </c>
      <c r="C248" s="60" t="s">
        <v>13</v>
      </c>
      <c r="D248" s="52" t="s">
        <v>542</v>
      </c>
      <c r="E248" s="52" t="s">
        <v>3</v>
      </c>
      <c r="F248" s="53">
        <v>1</v>
      </c>
      <c r="G248" s="53">
        <v>4</v>
      </c>
      <c r="H248" s="53">
        <v>2</v>
      </c>
      <c r="I248" s="53">
        <v>0</v>
      </c>
      <c r="J248" s="53">
        <v>0</v>
      </c>
      <c r="K248" s="52">
        <v>4</v>
      </c>
      <c r="L248" s="61">
        <v>2</v>
      </c>
      <c r="M248" s="30">
        <v>0</v>
      </c>
      <c r="N248" s="30">
        <v>0</v>
      </c>
      <c r="O248" s="32">
        <v>0</v>
      </c>
      <c r="P248" s="30">
        <v>160</v>
      </c>
    </row>
    <row r="249" spans="2:16" x14ac:dyDescent="0.3">
      <c r="B249" s="50" t="s">
        <v>529</v>
      </c>
      <c r="C249" s="60" t="s">
        <v>13</v>
      </c>
      <c r="D249" s="52" t="s">
        <v>543</v>
      </c>
      <c r="E249" s="52" t="s">
        <v>3</v>
      </c>
      <c r="F249" s="53">
        <v>1</v>
      </c>
      <c r="G249" s="53">
        <v>4</v>
      </c>
      <c r="H249" s="53">
        <v>2</v>
      </c>
      <c r="I249" s="53">
        <v>0</v>
      </c>
      <c r="J249" s="53">
        <v>0</v>
      </c>
      <c r="K249" s="52">
        <v>4</v>
      </c>
      <c r="L249" s="61">
        <v>2</v>
      </c>
      <c r="M249" s="30">
        <v>0</v>
      </c>
      <c r="N249" s="30">
        <v>0</v>
      </c>
      <c r="O249" s="32">
        <v>0</v>
      </c>
      <c r="P249" s="30">
        <v>160</v>
      </c>
    </row>
    <row r="250" spans="2:16" x14ac:dyDescent="0.3">
      <c r="B250" s="50" t="s">
        <v>533</v>
      </c>
      <c r="C250" s="60" t="s">
        <v>42</v>
      </c>
      <c r="D250" s="52" t="s">
        <v>544</v>
      </c>
      <c r="E250" s="52" t="s">
        <v>3</v>
      </c>
      <c r="F250" s="53">
        <v>1</v>
      </c>
      <c r="G250" s="53">
        <v>4</v>
      </c>
      <c r="H250" s="53">
        <v>2</v>
      </c>
      <c r="I250" s="53">
        <v>0</v>
      </c>
      <c r="J250" s="53">
        <v>0</v>
      </c>
      <c r="K250" s="52">
        <v>4</v>
      </c>
      <c r="L250" s="61">
        <v>2</v>
      </c>
      <c r="M250" s="30">
        <v>0</v>
      </c>
      <c r="N250" s="30">
        <v>0</v>
      </c>
      <c r="O250" s="32">
        <v>0</v>
      </c>
      <c r="P250" s="30">
        <v>160</v>
      </c>
    </row>
  </sheetData>
  <autoFilter ref="A3:P240" xr:uid="{B79298CA-07B8-469C-8272-21CF31E320C4}"/>
  <mergeCells count="6">
    <mergeCell ref="P2:P3"/>
    <mergeCell ref="M2:N2"/>
    <mergeCell ref="G2:H2"/>
    <mergeCell ref="I2:J2"/>
    <mergeCell ref="K2:L2"/>
    <mergeCell ref="O2:O3"/>
  </mergeCells>
  <phoneticPr fontId="3" type="noConversion"/>
  <conditionalFormatting sqref="B244:C1048576 B225 B1:C2 B4:C6 B7:B223 B230:B240">
    <cfRule type="duplicateValues" dxfId="2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계약이행율</vt:lpstr>
      <vt:lpstr>OIC</vt:lpstr>
      <vt:lpstr>계약이행율!Print_Area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koeun choi</dc:creator>
  <cp:lastModifiedBy>koeun choi</cp:lastModifiedBy>
  <dcterms:created xsi:type="dcterms:W3CDTF">2026-05-07T03:23:55Z</dcterms:created>
  <dcterms:modified xsi:type="dcterms:W3CDTF">2026-06-08T03:26:51Z</dcterms:modified>
</cp:coreProperties>
</file>