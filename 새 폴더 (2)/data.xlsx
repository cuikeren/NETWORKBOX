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360安全浏览器下载\"/>
    </mc:Choice>
  </mc:AlternateContent>
  <xr:revisionPtr revIDLastSave="0" documentId="13_ncr:1_{9A8BA7DB-C7CC-44B7-982C-BCBD43673589}" xr6:coauthVersionLast="47" xr6:coauthVersionMax="47" xr10:uidLastSave="{00000000-0000-0000-0000-000000000000}"/>
  <bookViews>
    <workbookView xWindow="-28920" yWindow="1140" windowWidth="29040" windowHeight="15720" activeTab="1" xr2:uid="{DEA99F99-225F-4E99-9DC6-C46F1B2255DE}"/>
  </bookViews>
  <sheets>
    <sheet name="계약이행율" sheetId="1" r:id="rId1"/>
    <sheet name="OIC" sheetId="3" r:id="rId2"/>
  </sheets>
  <definedNames>
    <definedName name="_xlnm._FilterDatabase" localSheetId="1" hidden="1">OIC!$A$4:$P$243</definedName>
    <definedName name="_xlnm._FilterDatabase" localSheetId="0" hidden="1">계약이행율!$A$3:$O$238</definedName>
    <definedName name="_xlnm.Print_Area" localSheetId="0">계약이행율!$B$2:$O$238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4" i="3" l="1"/>
  <c r="O242" i="1"/>
  <c r="N242" i="1"/>
  <c r="O241" i="1"/>
  <c r="N241" i="1"/>
  <c r="O240" i="1"/>
  <c r="N240" i="1"/>
  <c r="O239" i="1"/>
  <c r="N239" i="1"/>
  <c r="O238" i="1"/>
  <c r="N238" i="1"/>
  <c r="O237" i="1"/>
  <c r="N237" i="1"/>
  <c r="O236" i="1"/>
  <c r="N236" i="1"/>
  <c r="O235" i="1"/>
  <c r="O234" i="1"/>
  <c r="N234" i="1"/>
  <c r="O233" i="1"/>
  <c r="N233" i="1"/>
  <c r="O232" i="1"/>
  <c r="N232" i="1"/>
  <c r="O231" i="1"/>
  <c r="N231" i="1"/>
  <c r="O230" i="1"/>
  <c r="N230" i="1"/>
  <c r="O229" i="1"/>
  <c r="N229" i="1"/>
  <c r="O228" i="1"/>
  <c r="N228" i="1"/>
  <c r="O227" i="1"/>
  <c r="N227" i="1"/>
  <c r="O226" i="1"/>
  <c r="N226" i="1"/>
  <c r="O225" i="1"/>
  <c r="N225" i="1"/>
  <c r="O224" i="1"/>
  <c r="N224" i="1"/>
  <c r="O223" i="1"/>
  <c r="N223" i="1"/>
  <c r="O222" i="1"/>
  <c r="N222" i="1"/>
  <c r="O221" i="1"/>
  <c r="N221" i="1"/>
  <c r="O220" i="1"/>
  <c r="N220" i="1"/>
  <c r="O219" i="1"/>
  <c r="N219" i="1"/>
  <c r="O218" i="1"/>
  <c r="N218" i="1"/>
  <c r="O217" i="1"/>
  <c r="N217" i="1"/>
  <c r="O216" i="1"/>
  <c r="N216" i="1"/>
  <c r="O215" i="1"/>
  <c r="N215" i="1"/>
  <c r="O214" i="1"/>
  <c r="N214" i="1"/>
  <c r="O213" i="1"/>
  <c r="N213" i="1"/>
  <c r="O212" i="1"/>
  <c r="N212" i="1"/>
  <c r="O211" i="1"/>
  <c r="N211" i="1"/>
  <c r="O210" i="1"/>
  <c r="N210" i="1"/>
  <c r="O209" i="1"/>
  <c r="N209" i="1"/>
  <c r="O208" i="1"/>
  <c r="N208" i="1"/>
  <c r="O207" i="1"/>
  <c r="N207" i="1"/>
  <c r="O206" i="1"/>
  <c r="N206" i="1"/>
  <c r="O205" i="1"/>
  <c r="N205" i="1"/>
  <c r="O204" i="1"/>
  <c r="N204" i="1"/>
  <c r="O203" i="1"/>
  <c r="N203" i="1"/>
  <c r="O202" i="1"/>
  <c r="N202" i="1"/>
  <c r="O201" i="1"/>
  <c r="N201" i="1"/>
  <c r="O200" i="1"/>
  <c r="N200" i="1"/>
  <c r="O199" i="1"/>
  <c r="N199" i="1"/>
  <c r="O198" i="1"/>
  <c r="N198" i="1"/>
  <c r="O197" i="1"/>
  <c r="N197" i="1"/>
  <c r="O196" i="1"/>
  <c r="N196" i="1"/>
  <c r="O195" i="1"/>
  <c r="N195" i="1"/>
  <c r="O194" i="1"/>
  <c r="N194" i="1"/>
  <c r="O193" i="1"/>
  <c r="N193" i="1"/>
  <c r="O192" i="1"/>
  <c r="N192" i="1"/>
  <c r="O191" i="1"/>
  <c r="N191" i="1"/>
  <c r="O190" i="1"/>
  <c r="N190" i="1"/>
  <c r="O189" i="1"/>
  <c r="N189" i="1"/>
  <c r="O188" i="1"/>
  <c r="N188" i="1"/>
  <c r="O187" i="1"/>
  <c r="N187" i="1"/>
  <c r="O186" i="1"/>
  <c r="N186" i="1"/>
  <c r="O185" i="1"/>
  <c r="N185" i="1"/>
  <c r="O184" i="1"/>
  <c r="N184" i="1"/>
  <c r="O183" i="1"/>
  <c r="N183" i="1"/>
  <c r="O182" i="1"/>
  <c r="N182" i="1"/>
  <c r="O181" i="1"/>
  <c r="N181" i="1"/>
  <c r="O180" i="1"/>
  <c r="N180" i="1"/>
  <c r="O179" i="1"/>
  <c r="N179" i="1"/>
  <c r="O178" i="1"/>
  <c r="N178" i="1"/>
  <c r="O177" i="1"/>
  <c r="N177" i="1"/>
  <c r="O176" i="1"/>
  <c r="N176" i="1"/>
  <c r="O175" i="1"/>
  <c r="N175" i="1"/>
  <c r="O174" i="1"/>
  <c r="N174" i="1"/>
  <c r="O173" i="1"/>
  <c r="N173" i="1"/>
  <c r="O172" i="1"/>
  <c r="N172" i="1"/>
  <c r="O171" i="1"/>
  <c r="N171" i="1"/>
  <c r="O170" i="1"/>
  <c r="N170" i="1"/>
  <c r="O169" i="1"/>
  <c r="N169" i="1"/>
  <c r="O168" i="1"/>
  <c r="N168" i="1"/>
  <c r="O167" i="1"/>
  <c r="N167" i="1"/>
  <c r="O166" i="1"/>
  <c r="N166" i="1"/>
  <c r="O165" i="1"/>
  <c r="N165" i="1"/>
  <c r="O164" i="1"/>
  <c r="N164" i="1"/>
  <c r="O163" i="1"/>
  <c r="N163" i="1"/>
  <c r="O162" i="1"/>
  <c r="N162" i="1"/>
  <c r="O161" i="1"/>
  <c r="N161" i="1"/>
  <c r="O160" i="1"/>
  <c r="N160" i="1"/>
  <c r="O159" i="1"/>
  <c r="N159" i="1"/>
  <c r="O158" i="1"/>
  <c r="N158" i="1"/>
  <c r="O157" i="1"/>
  <c r="N157" i="1"/>
  <c r="O156" i="1"/>
  <c r="N156" i="1"/>
  <c r="O155" i="1"/>
  <c r="N155" i="1"/>
  <c r="O154" i="1"/>
  <c r="N154" i="1"/>
  <c r="O153" i="1"/>
  <c r="N153" i="1"/>
  <c r="O152" i="1"/>
  <c r="N152" i="1"/>
  <c r="O151" i="1"/>
  <c r="N151" i="1"/>
  <c r="O150" i="1"/>
  <c r="N150" i="1"/>
  <c r="O149" i="1"/>
  <c r="N149" i="1"/>
  <c r="O148" i="1"/>
  <c r="N148" i="1"/>
  <c r="O147" i="1"/>
  <c r="N147" i="1"/>
  <c r="O146" i="1"/>
  <c r="N146" i="1"/>
  <c r="O145" i="1"/>
  <c r="N145" i="1"/>
  <c r="O144" i="1"/>
  <c r="N144" i="1"/>
  <c r="O143" i="1"/>
  <c r="N143" i="1"/>
  <c r="O142" i="1"/>
  <c r="N142" i="1"/>
  <c r="O141" i="1"/>
  <c r="N141" i="1"/>
  <c r="O140" i="1"/>
  <c r="N140" i="1"/>
  <c r="O139" i="1"/>
  <c r="N139" i="1"/>
  <c r="O138" i="1"/>
  <c r="N138" i="1"/>
  <c r="O137" i="1"/>
  <c r="N137" i="1"/>
  <c r="O136" i="1"/>
  <c r="O135" i="1"/>
  <c r="N135" i="1"/>
  <c r="O134" i="1"/>
  <c r="N134" i="1"/>
  <c r="O133" i="1"/>
  <c r="N133" i="1"/>
  <c r="O132" i="1"/>
  <c r="N132" i="1"/>
  <c r="O131" i="1"/>
  <c r="N131" i="1"/>
  <c r="O130" i="1"/>
  <c r="N130" i="1"/>
  <c r="O129" i="1"/>
  <c r="N129" i="1"/>
  <c r="O128" i="1"/>
  <c r="N128" i="1"/>
  <c r="O127" i="1"/>
  <c r="N127" i="1"/>
  <c r="O126" i="1"/>
  <c r="N126" i="1"/>
  <c r="O125" i="1"/>
  <c r="N125" i="1"/>
  <c r="O124" i="1"/>
  <c r="N124" i="1"/>
  <c r="O123" i="1"/>
  <c r="N123" i="1"/>
  <c r="O122" i="1"/>
  <c r="N122" i="1"/>
  <c r="O121" i="1"/>
  <c r="N121" i="1"/>
  <c r="O120" i="1"/>
  <c r="N120" i="1"/>
  <c r="O119" i="1"/>
  <c r="N119" i="1"/>
  <c r="O118" i="1"/>
  <c r="N118" i="1"/>
  <c r="O117" i="1"/>
  <c r="N117" i="1"/>
  <c r="O116" i="1"/>
  <c r="N116" i="1"/>
  <c r="O115" i="1"/>
  <c r="N115" i="1"/>
  <c r="O114" i="1"/>
  <c r="N114" i="1"/>
  <c r="O113" i="1"/>
  <c r="N113" i="1"/>
  <c r="O112" i="1"/>
  <c r="N112" i="1"/>
  <c r="O111" i="1"/>
  <c r="N111" i="1"/>
  <c r="O110" i="1"/>
  <c r="N110" i="1"/>
  <c r="O109" i="1"/>
  <c r="N109" i="1"/>
  <c r="O108" i="1"/>
  <c r="N108" i="1"/>
  <c r="O107" i="1"/>
  <c r="N107" i="1"/>
  <c r="O106" i="1"/>
  <c r="N106" i="1"/>
  <c r="O105" i="1"/>
  <c r="N105" i="1"/>
  <c r="O104" i="1"/>
  <c r="N104" i="1"/>
  <c r="O103" i="1"/>
  <c r="N103" i="1"/>
  <c r="O102" i="1"/>
  <c r="N102" i="1"/>
  <c r="O101" i="1"/>
  <c r="N101" i="1"/>
  <c r="O100" i="1"/>
  <c r="N100" i="1"/>
  <c r="O99" i="1"/>
  <c r="N99" i="1"/>
  <c r="O98" i="1"/>
  <c r="N98" i="1"/>
  <c r="O97" i="1"/>
  <c r="N97" i="1"/>
  <c r="O96" i="1"/>
  <c r="N96" i="1"/>
  <c r="O95" i="1"/>
  <c r="N95" i="1"/>
  <c r="O94" i="1"/>
  <c r="N94" i="1"/>
  <c r="O93" i="1"/>
  <c r="N93" i="1"/>
  <c r="O92" i="1"/>
  <c r="N92" i="1"/>
  <c r="O91" i="1"/>
  <c r="N91" i="1"/>
  <c r="O90" i="1"/>
  <c r="N90" i="1"/>
  <c r="O89" i="1"/>
  <c r="N89" i="1"/>
  <c r="O88" i="1"/>
  <c r="N88" i="1"/>
  <c r="O87" i="1"/>
  <c r="N87" i="1"/>
  <c r="O86" i="1"/>
  <c r="N86" i="1"/>
  <c r="O85" i="1"/>
  <c r="N85" i="1"/>
  <c r="O84" i="1"/>
  <c r="N84" i="1"/>
  <c r="O83" i="1"/>
  <c r="N83" i="1"/>
  <c r="O82" i="1"/>
  <c r="N82" i="1"/>
  <c r="O81" i="1"/>
  <c r="N81" i="1"/>
  <c r="O80" i="1"/>
  <c r="N80" i="1"/>
  <c r="O79" i="1"/>
  <c r="N79" i="1"/>
  <c r="O78" i="1"/>
  <c r="N78" i="1"/>
  <c r="O77" i="1"/>
  <c r="N77" i="1"/>
  <c r="O76" i="1"/>
  <c r="N76" i="1"/>
  <c r="O75" i="1"/>
  <c r="N75" i="1"/>
  <c r="O74" i="1"/>
  <c r="N74" i="1"/>
  <c r="O73" i="1"/>
  <c r="N73" i="1"/>
  <c r="O72" i="1"/>
  <c r="N72" i="1"/>
  <c r="O71" i="1"/>
  <c r="N71" i="1"/>
  <c r="O70" i="1"/>
  <c r="N70" i="1"/>
  <c r="O69" i="1"/>
  <c r="N69" i="1"/>
  <c r="O68" i="1"/>
  <c r="N68" i="1"/>
  <c r="O67" i="1"/>
  <c r="N67" i="1"/>
  <c r="O66" i="1"/>
  <c r="N66" i="1"/>
  <c r="O65" i="1"/>
  <c r="N65" i="1"/>
  <c r="O64" i="1"/>
  <c r="N64" i="1"/>
  <c r="O63" i="1"/>
  <c r="N63" i="1"/>
  <c r="O62" i="1"/>
  <c r="N62" i="1"/>
  <c r="O61" i="1"/>
  <c r="N61" i="1"/>
  <c r="O60" i="1"/>
  <c r="N60" i="1"/>
  <c r="O59" i="1"/>
  <c r="N59" i="1"/>
  <c r="O58" i="1"/>
  <c r="N58" i="1"/>
  <c r="O57" i="1"/>
  <c r="N57" i="1"/>
  <c r="O56" i="1"/>
  <c r="N56" i="1"/>
  <c r="O55" i="1"/>
  <c r="N55" i="1"/>
  <c r="O54" i="1"/>
  <c r="N54" i="1"/>
  <c r="O53" i="1"/>
  <c r="N53" i="1"/>
  <c r="O52" i="1"/>
  <c r="N52" i="1"/>
  <c r="O51" i="1"/>
  <c r="N51" i="1"/>
  <c r="O50" i="1"/>
  <c r="N50" i="1"/>
  <c r="O49" i="1"/>
  <c r="N49" i="1"/>
  <c r="O48" i="1"/>
  <c r="N48" i="1"/>
  <c r="O47" i="1"/>
  <c r="N47" i="1"/>
  <c r="O46" i="1"/>
  <c r="N46" i="1"/>
  <c r="O45" i="1"/>
  <c r="N45" i="1"/>
  <c r="O44" i="1"/>
  <c r="N44" i="1"/>
  <c r="O43" i="1"/>
  <c r="N43" i="1"/>
  <c r="O42" i="1"/>
  <c r="N42" i="1"/>
  <c r="O41" i="1"/>
  <c r="N41" i="1"/>
  <c r="O40" i="1"/>
  <c r="N40" i="1"/>
  <c r="O39" i="1"/>
  <c r="N39" i="1"/>
  <c r="O38" i="1"/>
  <c r="N38" i="1"/>
  <c r="O37" i="1"/>
  <c r="N37" i="1"/>
  <c r="O36" i="1"/>
  <c r="N36" i="1"/>
  <c r="O35" i="1"/>
  <c r="N35" i="1"/>
  <c r="O34" i="1"/>
  <c r="N34" i="1"/>
  <c r="O33" i="1"/>
  <c r="N33" i="1"/>
  <c r="O32" i="1"/>
  <c r="N32" i="1"/>
  <c r="O31" i="1"/>
  <c r="N31" i="1"/>
  <c r="O30" i="1"/>
  <c r="N30" i="1"/>
  <c r="O29" i="1"/>
  <c r="N29" i="1"/>
  <c r="O28" i="1"/>
  <c r="N28" i="1"/>
  <c r="O27" i="1"/>
  <c r="N27" i="1"/>
  <c r="O26" i="1"/>
  <c r="N26" i="1"/>
  <c r="O25" i="1"/>
  <c r="N25" i="1"/>
  <c r="O24" i="1"/>
  <c r="N24" i="1"/>
  <c r="O23" i="1"/>
  <c r="N23" i="1"/>
  <c r="O22" i="1"/>
  <c r="N22" i="1"/>
  <c r="O21" i="1"/>
  <c r="N21" i="1"/>
  <c r="O20" i="1"/>
  <c r="N20" i="1"/>
  <c r="O19" i="1"/>
  <c r="N19" i="1"/>
  <c r="O18" i="1"/>
  <c r="N18" i="1"/>
  <c r="O17" i="1"/>
  <c r="N17" i="1"/>
  <c r="O16" i="1"/>
  <c r="N16" i="1"/>
  <c r="O15" i="1"/>
  <c r="N15" i="1"/>
  <c r="O14" i="1"/>
  <c r="N14" i="1"/>
  <c r="O13" i="1"/>
  <c r="N13" i="1"/>
  <c r="O12" i="1"/>
  <c r="N12" i="1"/>
  <c r="O11" i="1"/>
  <c r="N11" i="1"/>
  <c r="O10" i="1"/>
  <c r="N10" i="1"/>
  <c r="O9" i="1"/>
  <c r="N9" i="1"/>
  <c r="O8" i="1"/>
  <c r="N8" i="1"/>
  <c r="O7" i="1"/>
  <c r="N7" i="1"/>
  <c r="O6" i="1"/>
  <c r="N6" i="1"/>
  <c r="O5" i="1"/>
  <c r="N5" i="1"/>
  <c r="O4" i="1"/>
  <c r="N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osstem</author>
  </authors>
  <commentList>
    <comment ref="J86" authorId="0" shapeId="0" xr:uid="{987A1C76-0DF1-4B48-AF4B-E9EB3CBB4F04}">
      <text>
        <r>
          <rPr>
            <b/>
            <sz val="9"/>
            <color indexed="81"/>
            <rFont val="Tahoma"/>
            <family val="2"/>
          </rPr>
          <t>osstem: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通用审批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BatangChe"/>
            <family val="3"/>
            <charset val="129"/>
          </rPr>
          <t>베트남</t>
        </r>
        <r>
          <rPr>
            <sz val="9"/>
            <color indexed="81"/>
            <rFont val="Tahoma"/>
            <family val="2"/>
          </rPr>
          <t xml:space="preserve">-4
</t>
        </r>
        <r>
          <rPr>
            <sz val="9"/>
            <color indexed="81"/>
            <rFont val="宋体"/>
            <family val="3"/>
            <charset val="134"/>
          </rPr>
          <t>科康</t>
        </r>
      </text>
    </comment>
    <comment ref="J184" authorId="0" shapeId="0" xr:uid="{207C01F8-580E-456B-8978-92EB31C9637C}">
      <text>
        <r>
          <rPr>
            <b/>
            <sz val="9"/>
            <color indexed="81"/>
            <rFont val="Tahoma"/>
            <family val="2"/>
          </rPr>
          <t>osstem: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通用审批
</t>
        </r>
        <r>
          <rPr>
            <sz val="9"/>
            <color indexed="81"/>
            <rFont val="BatangChe"/>
            <family val="3"/>
            <charset val="129"/>
          </rPr>
          <t>베트남</t>
        </r>
        <r>
          <rPr>
            <sz val="9"/>
            <color indexed="81"/>
            <rFont val="Tahoma"/>
            <family val="2"/>
          </rPr>
          <t xml:space="preserve"> -4
</t>
        </r>
        <r>
          <rPr>
            <sz val="9"/>
            <color indexed="81"/>
            <rFont val="宋体"/>
            <family val="3"/>
            <charset val="134"/>
          </rPr>
          <t>希伯来</t>
        </r>
      </text>
    </comment>
    <comment ref="B212" authorId="0" shapeId="0" xr:uid="{A381B0EE-8761-4789-A6E2-63338442D3B4}">
      <text>
        <r>
          <rPr>
            <b/>
            <sz val="9"/>
            <color indexed="81"/>
            <rFont val="Tahoma"/>
            <family val="2"/>
          </rPr>
          <t>osstem: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BatangChe"/>
            <family val="3"/>
            <charset val="129"/>
          </rPr>
          <t>부장님이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BatangChe"/>
            <family val="3"/>
            <charset val="129"/>
          </rPr>
          <t>해외</t>
        </r>
        <r>
          <rPr>
            <sz val="9"/>
            <color indexed="81"/>
            <rFont val="Tahoma"/>
            <family val="2"/>
          </rPr>
          <t>2</t>
        </r>
        <r>
          <rPr>
            <sz val="9"/>
            <color indexed="81"/>
            <rFont val="BatangChe"/>
            <family val="3"/>
            <charset val="129"/>
          </rPr>
          <t>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BatangChe"/>
            <family val="3"/>
            <charset val="129"/>
          </rPr>
          <t>국내</t>
        </r>
        <r>
          <rPr>
            <sz val="9"/>
            <color indexed="81"/>
            <rFont val="Tahoma"/>
            <family val="2"/>
          </rPr>
          <t>1</t>
        </r>
        <r>
          <rPr>
            <sz val="9"/>
            <color indexed="81"/>
            <rFont val="BatangChe"/>
            <family val="3"/>
            <charset val="129"/>
          </rPr>
          <t>개로</t>
        </r>
        <r>
          <rPr>
            <sz val="9"/>
            <color indexed="81"/>
            <rFont val="Tahoma"/>
            <family val="2"/>
          </rPr>
          <t xml:space="preserve"> 100</t>
        </r>
        <r>
          <rPr>
            <sz val="9"/>
            <color indexed="81"/>
            <rFont val="BatangChe"/>
            <family val="3"/>
            <charset val="129"/>
          </rPr>
          <t>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BatangChe"/>
            <family val="3"/>
            <charset val="129"/>
          </rPr>
          <t>더주는느낌으로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BatangChe"/>
            <family val="3"/>
            <charset val="129"/>
          </rPr>
          <t>쓰게함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BatangChe"/>
            <family val="3"/>
            <charset val="129"/>
          </rPr>
          <t>그들은</t>
        </r>
        <r>
          <rPr>
            <sz val="9"/>
            <color indexed="81"/>
            <rFont val="Tahoma"/>
            <family val="2"/>
          </rPr>
          <t xml:space="preserve"> 4,4</t>
        </r>
        <r>
          <rPr>
            <sz val="9"/>
            <color indexed="81"/>
            <rFont val="BatangChe"/>
            <family val="3"/>
            <charset val="129"/>
          </rPr>
          <t>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BatangChe"/>
            <family val="3"/>
            <charset val="129"/>
          </rPr>
          <t>알고있음</t>
        </r>
        <r>
          <rPr>
            <sz val="9"/>
            <color indexed="81"/>
            <rFont val="Tahoma"/>
            <family val="2"/>
          </rPr>
          <t xml:space="preserve"> </t>
        </r>
      </text>
    </comment>
  </commentList>
</comments>
</file>

<file path=xl/sharedStrings.xml><?xml version="1.0" encoding="utf-8"?>
<sst xmlns="http://schemas.openxmlformats.org/spreadsheetml/2006/main" count="1918" uniqueCount="547">
  <si>
    <t>main contract</t>
    <phoneticPr fontId="3" type="noConversion"/>
  </si>
  <si>
    <t>BIJT-C-LS-HK-25A-25-0071</t>
  </si>
  <si>
    <t>苏州海珥森医疗器械有限公司1</t>
  </si>
  <si>
    <t>上海事业部</t>
  </si>
  <si>
    <t>C</t>
  </si>
  <si>
    <t>BIJT-C-LS-DK-25A-25-0001</t>
  </si>
  <si>
    <t>植之道</t>
  </si>
  <si>
    <t>深圳事业部</t>
  </si>
  <si>
    <t>TIJT-B-ZLS-HK-25-3200603-25-2</t>
  </si>
  <si>
    <t>中诺集团1</t>
  </si>
  <si>
    <t>北京事业部</t>
  </si>
  <si>
    <t>A</t>
  </si>
  <si>
    <t>SIJT-C-LS-HK-25A-25-0008</t>
  </si>
  <si>
    <t>福州美可普</t>
  </si>
  <si>
    <t>杭州事业部</t>
  </si>
  <si>
    <t>BIJT-B-JX-HK-25A-25-0004</t>
  </si>
  <si>
    <t>蓝天集团</t>
  </si>
  <si>
    <t>南宁事业部</t>
  </si>
  <si>
    <t>B</t>
  </si>
  <si>
    <t>IMJT-B-MLS-HK-3000600-25-2</t>
  </si>
  <si>
    <t>杭州杭人口腔1</t>
  </si>
  <si>
    <t>BIJT-C-LS-HK-25A-25-0020</t>
  </si>
  <si>
    <t>新会壹心维美</t>
  </si>
  <si>
    <t>SIJT-B-MLS-HK-25-0004</t>
  </si>
  <si>
    <t>麦芽</t>
  </si>
  <si>
    <t>BIJT-C-LS-HK-25A-25-0032</t>
  </si>
  <si>
    <t>南宁天使</t>
  </si>
  <si>
    <t>BIJT-C-JX-HK-25A-25-0011</t>
  </si>
  <si>
    <t>希柏莱（穗华口腔）</t>
  </si>
  <si>
    <t>BIJT-C-LS-HK-25A-25-0026</t>
  </si>
  <si>
    <t>绍兴复大</t>
  </si>
  <si>
    <t>BIJT-B-LS-HK-25A-25-0007</t>
  </si>
  <si>
    <t>厦门优选医疗科技有限公司</t>
  </si>
  <si>
    <t>BIJT-C-JX-XK-25A-25-0001</t>
  </si>
  <si>
    <t>北京顺德</t>
  </si>
  <si>
    <t>BIJT-C-LS-HK-25A-25-0064</t>
  </si>
  <si>
    <t>柏乐集团</t>
  </si>
  <si>
    <t>BIJT-C-LS-XK-25A-25-0003</t>
  </si>
  <si>
    <t>恩施汉祥医疗科技有限公司</t>
  </si>
  <si>
    <t>青岛事业部</t>
  </si>
  <si>
    <t>BIJT-C-LS-HK-25A-25-0062</t>
  </si>
  <si>
    <t>杭州杭人口腔2</t>
  </si>
  <si>
    <t>BIJT-B-LS-HK-25A-25-0009</t>
  </si>
  <si>
    <t>绍兴京韩</t>
  </si>
  <si>
    <t>SIJT-C-LS-HK-25A-25-0005</t>
  </si>
  <si>
    <t>南京新亚医疗器械有限公司1</t>
  </si>
  <si>
    <t>南京事业部</t>
  </si>
  <si>
    <t>BIJT-B-LS-HK-25A-25-0006</t>
  </si>
  <si>
    <t>南京和裕医疗器械有限公司1</t>
  </si>
  <si>
    <t>BIJT-C-LS-HK-25A-25-0012</t>
  </si>
  <si>
    <t>伶牙利</t>
  </si>
  <si>
    <t>BIJT-C-LS-HK-25A-25-0047</t>
  </si>
  <si>
    <t>北京优贝</t>
  </si>
  <si>
    <t>TIJT-C-LS-HK-25A-25-0007</t>
  </si>
  <si>
    <t>金海莱蒽1</t>
  </si>
  <si>
    <t>BIJT-B-JX-HK-25A-25-0007</t>
  </si>
  <si>
    <t>东莞东城百花1</t>
  </si>
  <si>
    <t>BIJT-A-JX-HK-25A-25-0009</t>
  </si>
  <si>
    <t>陌客尔</t>
  </si>
  <si>
    <t>BIJT-A-JX-HK-25A-25-0006</t>
  </si>
  <si>
    <t>上海健曜医疗器械有限公司1</t>
  </si>
  <si>
    <t>SIJT-C-MLS-HK-25-0002</t>
  </si>
  <si>
    <t>上海隆升和医疗科技有限公司</t>
  </si>
  <si>
    <t>BIJT-C-LS-HK-25A-25-0009</t>
  </si>
  <si>
    <t>宁波牙博士1</t>
  </si>
  <si>
    <t>SIJT-C-LS-HK-25A-25-0012</t>
  </si>
  <si>
    <t>北京中科领军</t>
  </si>
  <si>
    <t>TIJT-C-LS-HK-25A-25-0003</t>
  </si>
  <si>
    <t>顺德口腔</t>
  </si>
  <si>
    <t>BIJT-C-LS-HK-25A-25-0017</t>
  </si>
  <si>
    <t>北京鼎顺利商贸有限公司</t>
  </si>
  <si>
    <t>IMJT-B-MLS-HK-5800211-25-1</t>
  </si>
  <si>
    <t>无锡贝壳</t>
  </si>
  <si>
    <t>BIJT-C-LS-HK-25A-25-0082</t>
  </si>
  <si>
    <t>辽宁鼎冠义齿科技有限公司</t>
  </si>
  <si>
    <t>沈阳事业部</t>
  </si>
  <si>
    <t>BIJT-C-LS-HK-25A-25-0070</t>
  </si>
  <si>
    <t>北京雅仕</t>
  </si>
  <si>
    <t>IMJT-C-MLS-HK-5100911-25-9</t>
  </si>
  <si>
    <t>无锡佳士洁</t>
  </si>
  <si>
    <t>BIJT-C-LS-HK-25A-25-0024</t>
  </si>
  <si>
    <t>南京金铂利</t>
  </si>
  <si>
    <t>BIJT-C-LS-HK-25A-25-0050</t>
  </si>
  <si>
    <t>广州海科医疗技术有限公司</t>
  </si>
  <si>
    <t>IMJT-C-MLS-HK-5800294-25-1</t>
  </si>
  <si>
    <t>宜兴口腔</t>
  </si>
  <si>
    <t>BIJT-C-LS-HK-25A-25-0088</t>
  </si>
  <si>
    <t>莞口口腔</t>
  </si>
  <si>
    <t>BIJT-C-JX-HK-25A-25-0013</t>
  </si>
  <si>
    <t>康美尚（广州德伦）</t>
  </si>
  <si>
    <t>BIJT-C-LS-HK-25A-25-0029</t>
  </si>
  <si>
    <t>无锡爱牙</t>
  </si>
  <si>
    <t>SIJT-C-LS-HK-25A-25-0014</t>
  </si>
  <si>
    <t>吉林爱齿</t>
  </si>
  <si>
    <t>哈尔滨事业部</t>
  </si>
  <si>
    <t>IMJT-B-MLS-HK-4801242-25-1</t>
  </si>
  <si>
    <t>常州北极星</t>
  </si>
  <si>
    <t>BITJ-C-LS-HK-25A-25-0001</t>
  </si>
  <si>
    <t>常州艾齿嘉</t>
  </si>
  <si>
    <t>SIJT-A-JX-HK-25A-25-0004</t>
  </si>
  <si>
    <t>魔都派（上海）医疗器械有限公司</t>
  </si>
  <si>
    <t>BIJT-C-LS-HK-25A-25-0077</t>
  </si>
  <si>
    <t>同步</t>
  </si>
  <si>
    <t>소송중</t>
  </si>
  <si>
    <t>IMJT-C-MLS-HK-3000624-25-1</t>
  </si>
  <si>
    <t>深圳格伦菲尔</t>
  </si>
  <si>
    <t>SIJT-A-MLS-HK-25-0002</t>
  </si>
  <si>
    <t>武汉中泰医疗器械有限公司</t>
  </si>
  <si>
    <t>SIJT-C-LS-HK-25A-25-0001</t>
  </si>
  <si>
    <t>宁波诚适</t>
  </si>
  <si>
    <t>SIJT-C-MLS-HK-25-0003</t>
  </si>
  <si>
    <t>赤峰圭玺医疗器械有限公司</t>
  </si>
  <si>
    <t>BIJT-C-LS-HK-25A-25-0079</t>
  </si>
  <si>
    <t>湖北华玉</t>
  </si>
  <si>
    <t>BIJT-C-LS-HK-25A-25-0008</t>
  </si>
  <si>
    <t>福州海峡</t>
  </si>
  <si>
    <t>BIJT-C-LS-XK-25A-25-0005</t>
  </si>
  <si>
    <t>中诺集团2</t>
  </si>
  <si>
    <t>IMJT-C-LJX-HK-7200738-25-1</t>
  </si>
  <si>
    <t>南京舜禾贸易有限公司</t>
  </si>
  <si>
    <t>BIJT-A-JX-HK-25A-25-0003</t>
  </si>
  <si>
    <t>北京美呀</t>
  </si>
  <si>
    <t>BIJT-C-LS-HK-25A-25-0087</t>
  </si>
  <si>
    <t>万国口腔</t>
  </si>
  <si>
    <t>BIJT-C-LS-HK-25A-25-0055</t>
  </si>
  <si>
    <t>宁波德中</t>
  </si>
  <si>
    <t>BIJT-C-LS-HK-25A-25-0036</t>
  </si>
  <si>
    <t>温州一诺</t>
  </si>
  <si>
    <t>BIJT-A-LS-HK-25A-25-0001</t>
  </si>
  <si>
    <t>长春陈北松</t>
  </si>
  <si>
    <t>BIJT-B-JX-HK-25A-25-0003</t>
  </si>
  <si>
    <t>杭州望江门</t>
  </si>
  <si>
    <t>IMJT-C-MLS-XK-3000938-25-1</t>
  </si>
  <si>
    <t>东莞固德</t>
  </si>
  <si>
    <t>IMJT-C-MLS-XK-3000750-25-1</t>
  </si>
  <si>
    <t>科康</t>
  </si>
  <si>
    <t>BIJT-C-JX-HK-25A-25-0012</t>
  </si>
  <si>
    <t>柏德</t>
  </si>
  <si>
    <t>IMJT-B-MLS-HK-4800337-25-1</t>
  </si>
  <si>
    <t>沈阳九诺</t>
  </si>
  <si>
    <t>BIJT-C-LS-HK-25A-25-0048</t>
  </si>
  <si>
    <t>清镇牙博仕</t>
  </si>
  <si>
    <t>成都事业部</t>
  </si>
  <si>
    <t>BIJT-C-LS-HK-25A-25-0059</t>
  </si>
  <si>
    <t>美利口腔</t>
  </si>
  <si>
    <t>BIJT-C-LS-HK-25A-25-0053</t>
  </si>
  <si>
    <t>唐山牙博士</t>
  </si>
  <si>
    <t>BIJT-C-LS-HK-25A-25-0011</t>
  </si>
  <si>
    <t>BIJT-C-JX-HK-25A-25-0019</t>
  </si>
  <si>
    <t>瑞珒集团</t>
  </si>
  <si>
    <t>BIJT-A-LS-HK-25A-25-0002</t>
  </si>
  <si>
    <t>北京海德堡</t>
  </si>
  <si>
    <t>IMJT-A-MLS-HK-5002600-25-1</t>
  </si>
  <si>
    <t>扬州贝恩</t>
  </si>
  <si>
    <t>BIJT-B-JX-HK-25A-25-0006</t>
  </si>
  <si>
    <t>杭州牙科</t>
  </si>
  <si>
    <t>SIJT-C-MLS-HK-25-0001</t>
  </si>
  <si>
    <t>北京拜和</t>
  </si>
  <si>
    <t>BIJT-C-JX-HK-25A-25-0002</t>
  </si>
  <si>
    <t>德周口腔</t>
  </si>
  <si>
    <t>BIJT-B-LS-HK-25A-25-0010</t>
  </si>
  <si>
    <t>阳光树集团</t>
  </si>
  <si>
    <t>BIJT-C-LS-HK-25A-25-0051</t>
  </si>
  <si>
    <t>北京爵冠</t>
  </si>
  <si>
    <t>IMJT-C-MLS-HK-5002741-25-1</t>
  </si>
  <si>
    <t>德贝美</t>
  </si>
  <si>
    <t>SIJT-C-LS-HK-25A-25-0002</t>
  </si>
  <si>
    <t>南宁牙博士</t>
  </si>
  <si>
    <t>IMJT-C-LJX-YC-4801743-25-1</t>
  </si>
  <si>
    <t>刘运波集团</t>
  </si>
  <si>
    <t>SIJT-B-MLS-HK-25-0002</t>
  </si>
  <si>
    <t>无锡牙坐标</t>
  </si>
  <si>
    <t>TIJT-C-LS-HK-25A-25-0006</t>
  </si>
  <si>
    <t>上海尤旦</t>
  </si>
  <si>
    <t>BIJT-C-LS-HK-25A-25-0007</t>
  </si>
  <si>
    <t>上海医大</t>
  </si>
  <si>
    <t>TIJT-C-ZLS-HK-25-3200747-25-1</t>
  </si>
  <si>
    <t>长沙优伢仕</t>
  </si>
  <si>
    <t>BIJT-C-LS-HK-25A-25-0052</t>
  </si>
  <si>
    <t>太原环中</t>
  </si>
  <si>
    <t>太原事业部</t>
  </si>
  <si>
    <t>BIJT-C-JX-HK-25A-25-0001</t>
  </si>
  <si>
    <t>上海华尔康新科医疗器械有限公司</t>
  </si>
  <si>
    <t>BIJT-C-LS-HK-25A-25-0069</t>
  </si>
  <si>
    <t>惠州微笑</t>
  </si>
  <si>
    <t>TIJT-C-ZLS-HK-25-3200018-25-1</t>
  </si>
  <si>
    <t>杭州民利</t>
  </si>
  <si>
    <t>SIJT-C-LS-HK-25A-25-0007</t>
  </si>
  <si>
    <t>大同精典</t>
  </si>
  <si>
    <t>SIJT-A-JX-HK-25A-25-0001</t>
  </si>
  <si>
    <t>北京诚之康</t>
  </si>
  <si>
    <t>BIJT-C-LS-HK-25A-25-0004</t>
  </si>
  <si>
    <t>济南海诺健康科技有限公司</t>
  </si>
  <si>
    <t>SIJT-A-LJX-HK-25-0003</t>
  </si>
  <si>
    <t>成都西南</t>
  </si>
  <si>
    <t>BIJT-C-LS-HK-25A-25-0044</t>
  </si>
  <si>
    <t>桥水医疗(启飞口腔)</t>
  </si>
  <si>
    <t>BIJT-C-LS-HK-25A-25-0023</t>
  </si>
  <si>
    <t>隆化谢氏热河口腔门诊部</t>
  </si>
  <si>
    <t>BIJT-C-LS-HK-25A-25-0033</t>
  </si>
  <si>
    <t>上海美奥</t>
  </si>
  <si>
    <t>IMJT-C-MLS-HK-5002679-25-1</t>
  </si>
  <si>
    <t>三亚微笑口腔门诊部</t>
  </si>
  <si>
    <t>SIJT-A-MLS-HK-25-0001</t>
  </si>
  <si>
    <t>保定牙博士</t>
  </si>
  <si>
    <t>BIJT-C-LS-HK-25A-25-0068</t>
  </si>
  <si>
    <t>长沙雅贝康</t>
  </si>
  <si>
    <t>IMJT-B-MLS-HK-5001069-25-1</t>
  </si>
  <si>
    <t>汕头市青年牙博士</t>
  </si>
  <si>
    <t>BIJT-B-LS-HK-25A-25-0011</t>
  </si>
  <si>
    <t>唐昊喆</t>
  </si>
  <si>
    <t>SIJT-C-MLS-HK-25-0004</t>
  </si>
  <si>
    <t>宁波甬创兴华医疗管理有限公司</t>
  </si>
  <si>
    <t>BIJT-B-JX-HK-25A-25-0001</t>
  </si>
  <si>
    <t>泉州安格尔</t>
  </si>
  <si>
    <t>SIJT-C-LS-HK-25A-25-0003</t>
  </si>
  <si>
    <t>梅州泽山</t>
  </si>
  <si>
    <t>SIJT-C-LS-HK-25A-25-0006</t>
  </si>
  <si>
    <t>苏州品植</t>
  </si>
  <si>
    <t>SIJT-B-MLS-HK-25-0001</t>
  </si>
  <si>
    <t>武汉德亚</t>
  </si>
  <si>
    <t>IMJT-C-LJX-HK-5100997-25-1</t>
  </si>
  <si>
    <t>上海美诺</t>
  </si>
  <si>
    <t>BIJT-A-JX-HK-25A-25-0001</t>
  </si>
  <si>
    <t>武汉德派</t>
  </si>
  <si>
    <t>BIJT-C-LS-HK-25A-25-0003</t>
  </si>
  <si>
    <t>大庆医大</t>
  </si>
  <si>
    <t>BIJT-C-LS-HK-25A-25-0083</t>
  </si>
  <si>
    <t>郑州臻诚医疗科技有限公司</t>
  </si>
  <si>
    <t>BIJT-C-JX-HK-25A-25-0016</t>
  </si>
  <si>
    <t>天津市河西北一口腔门诊有限公司</t>
  </si>
  <si>
    <t>BIJT-C-LS-HK-25A-25-0078</t>
  </si>
  <si>
    <t>包头市贝特瑞尔连锁管理有限公司</t>
  </si>
  <si>
    <t>SIJT-A-LJX-HK-25-0001</t>
  </si>
  <si>
    <t>上海维佳康</t>
  </si>
  <si>
    <t>IMJT-A-LJX-XK-4801498-25-2</t>
  </si>
  <si>
    <t>BIJT-C-JX-HK-25A-25-0007</t>
  </si>
  <si>
    <t>SIJT-B-LJX-HK-25-0001</t>
  </si>
  <si>
    <t>重庆牙博仕</t>
  </si>
  <si>
    <t>BIJT-C-LS-HK-25A-25-0015</t>
  </si>
  <si>
    <t>四川齿康未来医疗器械有限公司</t>
  </si>
  <si>
    <t>IMJT-C-MLS-HK-5002945-25-1</t>
  </si>
  <si>
    <t>温州口腔医院有限公司连锁</t>
  </si>
  <si>
    <t>BIJT-C-LS-HK-25A-25-0058</t>
  </si>
  <si>
    <t>天津鑫雅尔医疗管理有限公司</t>
  </si>
  <si>
    <t>IMJT-C-MLS-HK-4800341-25-1</t>
  </si>
  <si>
    <t>贵州美索斯科技有限公司</t>
  </si>
  <si>
    <t>BIJT-C-LS-HK-25A-25-0021</t>
  </si>
  <si>
    <t>博罗牙博士</t>
  </si>
  <si>
    <t>SIJT-C-LS-HK-25A-25-0013</t>
  </si>
  <si>
    <t>北京齿泰华口腔医院有限公司</t>
  </si>
  <si>
    <t>IMJT-C-LJX-YC-4801774-25-3</t>
  </si>
  <si>
    <t>马鞍山鑫马</t>
  </si>
  <si>
    <t>SIJT-C-LS-HK-25A-25-0011</t>
  </si>
  <si>
    <t>苏州海珥森医疗器械有限公司2</t>
  </si>
  <si>
    <t>SIJT-C-LS-HK-25A-25-0019</t>
  </si>
  <si>
    <t>西藏恒博医疗器械有限责任公司</t>
  </si>
  <si>
    <t>BIJT-C-LS-HK-25A-25-0072</t>
  </si>
  <si>
    <t>爱康健</t>
  </si>
  <si>
    <t>SIJT-A-MLS-HK-25-0005</t>
  </si>
  <si>
    <t>沈阳十方精诚医疗器械有限公司</t>
  </si>
  <si>
    <t>IMJT-C-MLS-HK-4000228-25-1</t>
  </si>
  <si>
    <t>常州固德熊猫</t>
  </si>
  <si>
    <t>BIJT-C-JX-HK-25A-25-0015</t>
  </si>
  <si>
    <t>中山松鼠</t>
  </si>
  <si>
    <t>BIJT-C-LS-HK-25A-25-0067</t>
  </si>
  <si>
    <t>IMJT-C-MLS-HK-4601464-25-1</t>
  </si>
  <si>
    <t>南京康贝佳</t>
  </si>
  <si>
    <t>TIJT-C-LS-HK-25A-25-0001</t>
  </si>
  <si>
    <t>沈阳德亿康商贸有限公司</t>
  </si>
  <si>
    <t>BIJT-C-LS-HK-25A-25-0016</t>
  </si>
  <si>
    <t>如皋牙医</t>
  </si>
  <si>
    <t>TIJT-C-JXS-HK-25A-25-0001</t>
  </si>
  <si>
    <t>南京和裕医疗器械有限公司2</t>
  </si>
  <si>
    <t>SIJT-C-MLS-HK-25-0005</t>
  </si>
  <si>
    <t>江苏沪牙卫士医疗器械有限公司</t>
  </si>
  <si>
    <t>IMTJ-B-LJX-XK-3100743-25-1</t>
  </si>
  <si>
    <t>长沙春芽</t>
  </si>
  <si>
    <t>BIJT-B-JX-XK-25A-25-0001</t>
  </si>
  <si>
    <t>张家口玛格</t>
  </si>
  <si>
    <t>SIJT-A-LJX-HK-25-0004</t>
  </si>
  <si>
    <t>广安医贸惠众药业有限公司</t>
  </si>
  <si>
    <t>TIJT-C-LS-HK-25A-25-0002</t>
  </si>
  <si>
    <t>大厂立康</t>
  </si>
  <si>
    <t>BIJT-A-JX-HK-25A-25-0005</t>
  </si>
  <si>
    <t>合肥佳德</t>
  </si>
  <si>
    <t>BIJT-C-LS-HK-25A-25-0065</t>
  </si>
  <si>
    <t>郑州唯美</t>
  </si>
  <si>
    <t>IMJT-B-MLS-HK-4801538-25-1</t>
  </si>
  <si>
    <t>诸暨浙绍</t>
  </si>
  <si>
    <t>BIJT-A-JX-HK-25A-25-0002</t>
  </si>
  <si>
    <t>徐州牙管家</t>
  </si>
  <si>
    <t>BIJT-C-LS-HK-25A-25-0030</t>
  </si>
  <si>
    <t>成都星华美电子商务有限公司</t>
  </si>
  <si>
    <t>BIJT-A-JX-HK-25A-25-0004</t>
  </si>
  <si>
    <t>昆山苏迈尔</t>
  </si>
  <si>
    <t>BIJT-C-LS-HK-25A-25-0019</t>
  </si>
  <si>
    <t>北京华烨新北口腔有限公司</t>
  </si>
  <si>
    <t>IMJT-A-MLS-HK-5002208-25-1</t>
  </si>
  <si>
    <t>邢台宏皓</t>
  </si>
  <si>
    <t>SIJT-A-MLS-HK-25-0006</t>
  </si>
  <si>
    <t>成都圣贝</t>
  </si>
  <si>
    <t>SIJT-C-LS-HK-25A-25-0010</t>
  </si>
  <si>
    <t>无锡金汇</t>
  </si>
  <si>
    <t>IMJT-B-MLS-HK-4800025-25-1</t>
  </si>
  <si>
    <t>重庆臻时代</t>
  </si>
  <si>
    <t>IMJT-A-LJX-HK-3100905-25-1</t>
  </si>
  <si>
    <t>永齐</t>
  </si>
  <si>
    <t>BIJT-C-LS-HK-25A-25-0037</t>
  </si>
  <si>
    <t>徐州正博口腔医院有限公司</t>
  </si>
  <si>
    <t>BIJT-C-LS-HK-25A-25-0006</t>
  </si>
  <si>
    <t>BIJT-C-JX-XK-25A-25-0004</t>
  </si>
  <si>
    <t>北京雅宁</t>
  </si>
  <si>
    <t>BIJT-C-LS-HK-25A-25-0027</t>
  </si>
  <si>
    <t>北京劲松</t>
  </si>
  <si>
    <t>BIJT-C-LS-HK-25A-25-0041</t>
  </si>
  <si>
    <t>云南爱雅齿辉口腔医院有限公司广居路分公司</t>
  </si>
  <si>
    <t>BIJT-C-LS-HK-25A-25-0073</t>
  </si>
  <si>
    <t>杭州亮贝美口腔连锁</t>
  </si>
  <si>
    <t>BIJT-C-LS-HK-25A-25-0001</t>
  </si>
  <si>
    <t>金华博瑞迪医疗</t>
  </si>
  <si>
    <t>BIJT-C-JX-XK-25A-25-0002</t>
  </si>
  <si>
    <t>上海西大口腔诊所有限公司</t>
  </si>
  <si>
    <t>BIJT-C-LS-HK-25A-25-0002</t>
  </si>
  <si>
    <t>西昌春城口腔门诊部有限公司</t>
  </si>
  <si>
    <t>SIJT-C-LS-HK-25A-25-0015</t>
  </si>
  <si>
    <t>山西齿科医院</t>
  </si>
  <si>
    <t>IMJT-A-LJX-HK-5200757-25-1</t>
  </si>
  <si>
    <t>上海龙阖医疗器械科技有限公司</t>
  </si>
  <si>
    <t>TIJT-C-LS-HK-25A-25-0008</t>
  </si>
  <si>
    <t>众植齿科医院</t>
  </si>
  <si>
    <t>BIJT-C-LS-HK-25A-25-0084</t>
  </si>
  <si>
    <t>上海伊尔意口腔门诊部有限公司</t>
  </si>
  <si>
    <t>BIJT-B-JX-HK-25A-25-0005</t>
  </si>
  <si>
    <t>深圳尔睦丽沙口腔</t>
  </si>
  <si>
    <t>BIJT-C-LS-HK-25A-25-0046</t>
  </si>
  <si>
    <t>深圳河山口腔</t>
  </si>
  <si>
    <t>IMJT-C-LJX-HK-5200918-25-1</t>
  </si>
  <si>
    <t>深圳尚创峰口腔门诊部</t>
  </si>
  <si>
    <t>TIJT-C-LS-HK-25A-25-0005</t>
  </si>
  <si>
    <t>盐城晋瑞口腔门诊部有限公司</t>
  </si>
  <si>
    <t>SIJT-B-MLS-HK-25-0003</t>
  </si>
  <si>
    <t>金华蓝芽口腔连锁</t>
  </si>
  <si>
    <t>BIJT-C-JX-XK-25A-25-0003</t>
  </si>
  <si>
    <t>惠州精英</t>
  </si>
  <si>
    <t>BIJT-C-LS-HK-25A-25-0074</t>
  </si>
  <si>
    <t>江苏博伢(南京茀莱堡口腔医院)</t>
  </si>
  <si>
    <t>BIJT-C-LS-HK-25A-25-0075</t>
  </si>
  <si>
    <t>芜湖市江城口腔有限责任公司</t>
  </si>
  <si>
    <t>SIJT-C-LS-HK-25A-25-0020</t>
  </si>
  <si>
    <t>嘉兴雅贝恩口腔连锁</t>
  </si>
  <si>
    <t>TIJT-C-LS-HK-25A-25-0009</t>
  </si>
  <si>
    <t>迁安雅美</t>
  </si>
  <si>
    <t>BIJT-C-LS-HK-25A-25-0042</t>
  </si>
  <si>
    <t>包头市京卓口腔门诊部有限公司</t>
  </si>
  <si>
    <t>BIJT-C-LS-HK-25A-25-0028</t>
  </si>
  <si>
    <t>北京首口</t>
  </si>
  <si>
    <t>BIJT-C-LS-HK-25A-25-0039</t>
  </si>
  <si>
    <t>唐山博尔</t>
  </si>
  <si>
    <t>SIJT-A-LJX-HK-25-0002</t>
  </si>
  <si>
    <t>BIJT-C-LS-HK-25A-25-0049</t>
  </si>
  <si>
    <t>长沙正念-好牙依</t>
  </si>
  <si>
    <t>BIJT-C-LS-XK-25A-25-0002</t>
  </si>
  <si>
    <t>云南亚云</t>
  </si>
  <si>
    <t>BIJT-C-JX-HK-25A-25-0010</t>
  </si>
  <si>
    <t>宁波牙博士2</t>
  </si>
  <si>
    <t>SIJT-C-LS-HK-25A-25-0004</t>
  </si>
  <si>
    <t>南京蓝鲟</t>
  </si>
  <si>
    <t>SIJT-A-LS-HK-25A-25-0001</t>
  </si>
  <si>
    <t>北京瑞尔</t>
  </si>
  <si>
    <t>SIJT-C-LJX-HK-25-0001</t>
  </si>
  <si>
    <t>玉溪舒尔</t>
  </si>
  <si>
    <t>BIJT-C-LS-HK-25A-25-0085</t>
  </si>
  <si>
    <t>江门市健森医疗器械有限公司</t>
  </si>
  <si>
    <t>BIJT-C-JX-HK-25A-25-0018</t>
  </si>
  <si>
    <t>江西贝尔医疗科技有限公司</t>
  </si>
  <si>
    <t>SIJT-A-MLS-HK-25-0003</t>
  </si>
  <si>
    <t>金海莱蒽2</t>
  </si>
  <si>
    <t>BIJT-C-JX-HK-25A-25-0017</t>
  </si>
  <si>
    <t>深圳君信</t>
  </si>
  <si>
    <t>BIJT-C-LS-HK-25A-25-0014</t>
  </si>
  <si>
    <t>杭州品凯</t>
  </si>
  <si>
    <t>BIJT-C-LS-HK-25A-25-0005</t>
  </si>
  <si>
    <t>长兴医疗器械公司</t>
  </si>
  <si>
    <t>SIJT-C-LS-HK-25A-25-0018</t>
  </si>
  <si>
    <t>湖北仁美</t>
  </si>
  <si>
    <t>BIJT-C-LS-HK-25A-25-0054</t>
  </si>
  <si>
    <t>宣城市为民口腔门诊部</t>
  </si>
  <si>
    <t>TIJT-A-ZLS-HK-25-3200508-25-1</t>
  </si>
  <si>
    <t>滨州瑞佳口腔医院有限公司</t>
  </si>
  <si>
    <t>BIJT-C-JX-HK-25A-25-0003</t>
  </si>
  <si>
    <t>众植博士</t>
  </si>
  <si>
    <t>IMJT-A-LJX-HK-3001090-25-1</t>
  </si>
  <si>
    <t>徐州诺恩口腔门诊部有限公司</t>
  </si>
  <si>
    <t>BIJT-C-LS-HK-25A-25-0045</t>
  </si>
  <si>
    <t>东莞东城百花2</t>
  </si>
  <si>
    <t>BIJT-C-LS-HK-25A-25-0076</t>
  </si>
  <si>
    <t>河北惟德口腔</t>
  </si>
  <si>
    <t>BIJT-C-LS-HK-25A-25-0022</t>
  </si>
  <si>
    <t>上海健曜医疗器械有限公司2</t>
  </si>
  <si>
    <t>BIJT-C-LS-HK-25A-25-0056</t>
  </si>
  <si>
    <t>南京新亚医疗器械有限公司2</t>
  </si>
  <si>
    <t>长沙牙祖口腔门诊部有限公司</t>
  </si>
  <si>
    <t>惠州口腔</t>
  </si>
  <si>
    <t>BIJT-C-LS-HK-25A-25-0031</t>
  </si>
  <si>
    <t>石家庄双合口腔</t>
  </si>
  <si>
    <t>烟台枫林医疗器械销售有限公司</t>
  </si>
  <si>
    <t>西安碑林大象口腔门诊部有限公司</t>
  </si>
  <si>
    <t>西宁事业部</t>
  </si>
  <si>
    <t>山东通汇医疗科技有限公司</t>
  </si>
  <si>
    <t>安徽摩汀口腔门诊有限公司</t>
  </si>
  <si>
    <t>重庆玖和医疗器械有限公司</t>
  </si>
  <si>
    <t>青岛柏瑞西诺德口腔门诊部</t>
  </si>
  <si>
    <t>上海鼎植</t>
  </si>
  <si>
    <t>杭州修元口腔</t>
  </si>
  <si>
    <t>苏州市相城区元和牙先生口腔诊所有限公司</t>
  </si>
  <si>
    <t>蚌埠皓芽口腔门诊部有限公司</t>
  </si>
  <si>
    <t>湖州伊雅医疗器械有限公司</t>
  </si>
  <si>
    <t>银川市兴庆区名仁口腔诊所</t>
  </si>
  <si>
    <t>合肥数智医疗管理有限公司</t>
  </si>
  <si>
    <t>郴州市植贝尔口腔有限公司</t>
  </si>
  <si>
    <t>泉州海丝口腔医院有限公司</t>
  </si>
  <si>
    <t>陌客尔2</t>
  </si>
  <si>
    <t>博罗牙博士2</t>
  </si>
  <si>
    <t>西宁蓝刺猬口腔门诊有限公司</t>
  </si>
  <si>
    <t>上海信智医疗器械有限公司</t>
  </si>
  <si>
    <t>北京劲松2</t>
  </si>
  <si>
    <t>东莞东城百花3</t>
  </si>
  <si>
    <t>26年/1月</t>
  </si>
  <si>
    <t>杭州通策</t>
  </si>
  <si>
    <t>植之道2</t>
  </si>
  <si>
    <t>滨海冠华口腔门诊部有限公司</t>
  </si>
  <si>
    <t>26年/2月</t>
  </si>
  <si>
    <t>诸暨杭成口腔门诊部有限公司</t>
  </si>
  <si>
    <t>南京和裕医疗器械有限公司3</t>
  </si>
  <si>
    <t>26年/3月</t>
  </si>
  <si>
    <t>西藏恒博医疗器械有限责任公司2</t>
  </si>
  <si>
    <t>品杰口腔</t>
  </si>
  <si>
    <t>忠贲医疗</t>
  </si>
  <si>
    <t>常州今日</t>
  </si>
  <si>
    <t>合肥爱尔美口腔门诊部有限公司</t>
  </si>
  <si>
    <t>北京优贝2</t>
  </si>
  <si>
    <t>北京顺德2</t>
  </si>
  <si>
    <t>泰州玲珑口腔</t>
  </si>
  <si>
    <t>安徽静泽医疗器械有限公司</t>
  </si>
  <si>
    <t>취소계약제외</t>
    <phoneticPr fontId="14" type="noConversion"/>
  </si>
  <si>
    <t>사업부</t>
    <phoneticPr fontId="14" type="noConversion"/>
  </si>
  <si>
    <t>계약번호</t>
    <phoneticPr fontId="14" type="noConversion"/>
  </si>
  <si>
    <t>등급</t>
    <phoneticPr fontId="14" type="noConversion"/>
  </si>
  <si>
    <t>계약횟수</t>
    <phoneticPr fontId="14" type="noConversion"/>
  </si>
  <si>
    <t>소진율</t>
    <phoneticPr fontId="14" type="noConversion"/>
  </si>
  <si>
    <t>국내OIC</t>
    <phoneticPr fontId="14" type="noConversion"/>
  </si>
  <si>
    <t>해외OIC</t>
    <phoneticPr fontId="14" type="noConversion"/>
  </si>
  <si>
    <t>福州福仁采销科技有限公司</t>
  </si>
  <si>
    <t>广德阳光口腔医院有限公司</t>
  </si>
  <si>
    <t>昆明久植医疗器械有限公司</t>
  </si>
  <si>
    <t>天津鑫雅尔医疗管理有限公司2</t>
  </si>
  <si>
    <t>杭州亮贝美口腔连锁2</t>
  </si>
  <si>
    <t>BIJT-C-LS-HK-25A-25-0095</t>
  </si>
  <si>
    <t>BIJT-C-LS-HK-25A-25-0096</t>
  </si>
  <si>
    <t>BIJT-B-LS-HK-25A-25-0013</t>
  </si>
  <si>
    <t>SIJT-B-JX-HK-25A-26-0001</t>
  </si>
  <si>
    <t>BIJT-C-LS-XK-25A-25-0007</t>
  </si>
  <si>
    <t>SIJT-B-LS-HK-25A-25-0001</t>
  </si>
  <si>
    <t>BIJT-C-LS-HK-25A-25-0094</t>
  </si>
  <si>
    <t>BIJT-C-JX-HK-25A-25-0028</t>
  </si>
  <si>
    <t>BIJT-C-LS-HK-25A-25-0090</t>
  </si>
  <si>
    <t>BIJT-C-JX-HK-25A-25-0027</t>
  </si>
  <si>
    <t>SIJT-C-LS-HK-25A-25-0021</t>
  </si>
  <si>
    <t>SIJT-A-JX-HK-25A-26-0002</t>
  </si>
  <si>
    <t>BIJT-A-JX-HK-25A-25-0015</t>
  </si>
  <si>
    <t>SIJT-A-JX-HK-25A-25-0006</t>
  </si>
  <si>
    <t>BIJT-C-LS-HK-25A-25-0089</t>
  </si>
  <si>
    <t>BIJT-B-JX-HK-25A-25-0008</t>
  </si>
  <si>
    <t>BIJT-B-LS-HK-25A-25-0012</t>
  </si>
  <si>
    <t>BIJT-C-LS-HK-25A-25-0101</t>
  </si>
  <si>
    <t>BIJT-C-JX-HK-25A-25-0024</t>
  </si>
  <si>
    <t>BIJT-A-JX-HK-25A-25-0011</t>
  </si>
  <si>
    <t>BIJT-A-JX-XK-25A-25-0001</t>
  </si>
  <si>
    <t>BIJT-A-JX-HK-25A-25-0014</t>
  </si>
  <si>
    <t>TIJT-C-LS-HK-25A-25-0013</t>
  </si>
  <si>
    <t>BIJT-C-JX-XK-25A-25-0005</t>
  </si>
  <si>
    <t>BIJT-C-JX-HK-25A-25-0021</t>
  </si>
  <si>
    <t>BIJT-C-LS-HK-25A-25-0097</t>
  </si>
  <si>
    <t>BIJT-C-LS-HK-25A-25-0133</t>
  </si>
  <si>
    <t>BIJT-C-LS-HK-25A-25-0086</t>
  </si>
  <si>
    <t>BIJT-C-JX-HK-25A-25-0023</t>
  </si>
  <si>
    <t>BITJ-C-LS-HK-25A-25-0002</t>
  </si>
  <si>
    <t>BIJT-C-LS-XK-25A-25-0006</t>
  </si>
  <si>
    <t>BIJT-C-JX-HK-25A-25-0009</t>
  </si>
  <si>
    <t>SIJT-A-JX-HK-25A-25-0007</t>
  </si>
  <si>
    <t>BIJT-C-JX-HK-25A-25-0025</t>
  </si>
  <si>
    <t>BIJT-C-LS-XK-25A-25-0004</t>
  </si>
  <si>
    <t>SIJT-A-LS-HK-25A-26-0001</t>
  </si>
  <si>
    <t>SIJT-A-JX-HK-25A-26-0001</t>
  </si>
  <si>
    <t>BIJT-A-JX-HK-25A-26-0001</t>
  </si>
  <si>
    <t>BIJT-C-LS-HK-25A-26-0001</t>
  </si>
  <si>
    <t>BIJT-C-LS-HK-25A-26-0002</t>
  </si>
  <si>
    <t>BIJT-A-JX-HK-25A-26-0003</t>
  </si>
  <si>
    <t>BIJT-A-JX-HK-25A-26-0004</t>
  </si>
  <si>
    <t>BIJT-C-LS-HK-25A-26-0004</t>
  </si>
  <si>
    <t>BIJT-C-JX-HK-25A-26-0002</t>
  </si>
  <si>
    <t>BIJT-A-JX-HK-25A-26-0005</t>
  </si>
  <si>
    <t>BIJT-C-LS-HK-25A-26-0006</t>
  </si>
  <si>
    <t>BIJT-C-LS-HK-25A-26-0008</t>
  </si>
  <si>
    <t>BIJT-B-LS-XK-25A-26-0002</t>
  </si>
  <si>
    <t>BIJT-B-LS-XK-25A-26-0003</t>
  </si>
  <si>
    <t>BIJT-B-LS-HK-25A-26-0001</t>
  </si>
  <si>
    <t>BIJT-C-LS-HK-25A-26-0009</t>
  </si>
  <si>
    <t>BIJT-C-LS-HK-25A-26-0011</t>
  </si>
  <si>
    <t>SIJT-A-JX-HK-25A-26-0003</t>
  </si>
  <si>
    <t>TIJT-A-JXS-HK-25A-26-0002</t>
  </si>
  <si>
    <t>BIJT-B-LS-HK-25A-26-0002</t>
  </si>
  <si>
    <t>계약 기본사항</t>
    <phoneticPr fontId="3" type="noConversion"/>
  </si>
  <si>
    <t>계약진행현황</t>
    <phoneticPr fontId="3" type="noConversion"/>
  </si>
  <si>
    <t>진행율</t>
    <phoneticPr fontId="3" type="noConversion"/>
  </si>
  <si>
    <t>그룹명</t>
    <phoneticPr fontId="3" type="noConversion"/>
  </si>
  <si>
    <t>사업부</t>
    <phoneticPr fontId="3" type="noConversion"/>
  </si>
  <si>
    <t>등급</t>
    <phoneticPr fontId="3" type="noConversion"/>
  </si>
  <si>
    <t>유효기간</t>
    <phoneticPr fontId="3" type="noConversion"/>
  </si>
  <si>
    <t>월</t>
    <phoneticPr fontId="3" type="noConversion"/>
  </si>
  <si>
    <t>갱신기간</t>
    <phoneticPr fontId="3" type="noConversion"/>
  </si>
  <si>
    <t>매출액
(세금불포함)</t>
    <phoneticPr fontId="3" type="noConversion"/>
  </si>
  <si>
    <t>fixture
(총수량)</t>
    <phoneticPr fontId="3" type="noConversion"/>
  </si>
  <si>
    <t>fixture
(0원제외)</t>
    <phoneticPr fontId="3" type="noConversion"/>
  </si>
  <si>
    <t>수금액</t>
    <phoneticPr fontId="3" type="noConversion"/>
  </si>
  <si>
    <t>계약액</t>
    <phoneticPr fontId="3" type="noConversion"/>
  </si>
  <si>
    <t>수금율</t>
    <phoneticPr fontId="3" type="noConversion"/>
  </si>
  <si>
    <t>계약달성율</t>
    <phoneticPr fontId="3" type="noConversion"/>
  </si>
  <si>
    <t>德周口腔2</t>
  </si>
  <si>
    <t>26年/4月</t>
  </si>
  <si>
    <t>刘运波集团2</t>
  </si>
  <si>
    <t>宁波桃源口腔医院有限公司</t>
  </si>
  <si>
    <t>广西粤桂时代</t>
  </si>
  <si>
    <t>武汉海柯迪医疗器械有限公司</t>
  </si>
  <si>
    <t>上海沪申五官科医院有限公司</t>
  </si>
  <si>
    <t>新余新奥口腔门诊有限公司</t>
  </si>
  <si>
    <t>그룹명</t>
    <phoneticPr fontId="14" type="noConversion"/>
  </si>
  <si>
    <t>계약횟수</t>
    <phoneticPr fontId="3" type="noConversion"/>
  </si>
  <si>
    <t>증정가능수량</t>
    <phoneticPr fontId="14" type="noConversion"/>
  </si>
  <si>
    <t>잔여수량</t>
    <phoneticPr fontId="14" type="noConversion"/>
  </si>
  <si>
    <t>사용수량</t>
    <phoneticPr fontId="14" type="noConversion"/>
  </si>
  <si>
    <t>fixture
기교환 수량</t>
    <phoneticPr fontId="14" type="noConversion"/>
  </si>
  <si>
    <t>fixture
교환 가능수량</t>
    <phoneticPr fontId="14" type="noConversion"/>
  </si>
  <si>
    <t>TOTAL</t>
  </si>
  <si>
    <t>공립사용</t>
  </si>
  <si>
    <t>시장부사용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</si>
</sst>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-* #,##0_-;\-* #,##0_-;_-* &quot;-&quot;_-;_-@_-"/>
    <numFmt numFmtId="176" formatCode="0_);[Red]\(0\)"/>
    <numFmt numFmtId="177" formatCode="#&quot;月&quot;"/>
    <numFmt numFmtId="178" formatCode="#,##0_);[Red]\(#,##0\)"/>
  </numFmts>
  <fonts count="28" x14ac:knownFonts="1">
    <font>
      <sz val="11"/>
      <color theme="1"/>
      <name val="等线"/>
      <family val="2"/>
      <charset val="134"/>
      <scheme val="minor"/>
    </font>
    <font>
      <sz val="11"/>
      <color theme="1"/>
      <name val="等线"/>
      <family val="2"/>
      <charset val="134"/>
      <scheme val="minor"/>
    </font>
    <font>
      <sz val="10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9"/>
      <color theme="1"/>
      <name val="等线"/>
      <family val="2"/>
      <charset val="134"/>
      <scheme val="minor"/>
    </font>
    <font>
      <b/>
      <sz val="11"/>
      <color theme="0"/>
      <name val="Malgun Gothic"/>
      <family val="2"/>
      <charset val="129"/>
    </font>
    <font>
      <sz val="10"/>
      <color theme="1"/>
      <name val="Malgun Gothic"/>
      <family val="2"/>
      <charset val="129"/>
    </font>
    <font>
      <b/>
      <sz val="10"/>
      <color theme="0"/>
      <name val="Malgun Gothic"/>
      <family val="2"/>
      <charset val="129"/>
    </font>
    <font>
      <b/>
      <sz val="10"/>
      <color theme="0"/>
      <name val="Malgun Gothic"/>
      <family val="2"/>
      <charset val="134"/>
    </font>
    <font>
      <b/>
      <sz val="10"/>
      <color theme="0"/>
      <name val="Malgun Gothic"/>
      <family val="2"/>
    </font>
    <font>
      <b/>
      <sz val="10"/>
      <color theme="1"/>
      <name val="等线"/>
      <family val="3"/>
      <charset val="134"/>
    </font>
    <font>
      <b/>
      <sz val="10"/>
      <color theme="1"/>
      <name val="等线"/>
      <family val="3"/>
      <charset val="134"/>
      <scheme val="minor"/>
    </font>
    <font>
      <sz val="11"/>
      <color indexed="8"/>
      <name val="等线"/>
      <family val="2"/>
      <scheme val="minor"/>
    </font>
    <font>
      <sz val="10"/>
      <color rgb="FFFF0000"/>
      <name val="Malgun Gothic"/>
      <family val="2"/>
      <charset val="129"/>
    </font>
    <font>
      <sz val="9"/>
      <name val="等线"/>
      <family val="3"/>
      <charset val="134"/>
      <scheme val="minor"/>
    </font>
    <font>
      <sz val="10"/>
      <color indexed="8"/>
      <name val="Malgun Gothic"/>
      <family val="2"/>
      <charset val="129"/>
    </font>
    <font>
      <b/>
      <sz val="10"/>
      <color indexed="8"/>
      <name val="Malgun Gothic"/>
      <family val="2"/>
    </font>
    <font>
      <b/>
      <sz val="10"/>
      <color rgb="FF000000"/>
      <name val="Malgun Gothic"/>
      <family val="2"/>
    </font>
    <font>
      <b/>
      <sz val="10"/>
      <color rgb="FF0000FF"/>
      <name val="Malgun Gothic"/>
      <family val="2"/>
    </font>
    <font>
      <b/>
      <sz val="11"/>
      <color rgb="FF000000"/>
      <name val="Malgun Gothic"/>
      <family val="2"/>
    </font>
    <font>
      <sz val="10"/>
      <color indexed="8"/>
      <name val="Malgun Gothic"/>
      <family val="2"/>
    </font>
    <font>
      <sz val="10"/>
      <color rgb="FFFF0000"/>
      <name val="Malgun Gothic"/>
      <family val="2"/>
    </font>
    <font>
      <sz val="10"/>
      <color rgb="FF0000FF"/>
      <name val="Malgun Gothic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宋体"/>
      <family val="3"/>
      <charset val="134"/>
    </font>
    <font>
      <sz val="9"/>
      <color indexed="81"/>
      <name val="BatangChe"/>
      <family val="3"/>
      <charset val="129"/>
    </font>
    <font>
      <b/>
      <sz val="10"/>
      <color theme="7"/>
      <name val="Malgun Gothic"/>
      <family val="2"/>
      <charset val="129"/>
    </font>
  </fonts>
  <fills count="9">
    <fill>
      <patternFill patternType="none"/>
    </fill>
    <fill>
      <patternFill patternType="gray125"/>
    </fill>
    <fill>
      <patternFill patternType="solid">
        <fgColor rgb="FF00348D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59999389629810485"/>
        <bgColor indexed="64"/>
      </patternFill>
    </fill>
  </fills>
  <borders count="22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dashed">
        <color theme="0" tint="-0.499984740745262"/>
      </right>
      <top style="dashed">
        <color theme="0" tint="-0.499984740745262"/>
      </top>
      <bottom style="dashed">
        <color theme="0" tint="-0.499984740745262"/>
      </bottom>
      <diagonal/>
    </border>
    <border>
      <left/>
      <right style="thin">
        <color theme="0" tint="-4.9989318521683403E-2"/>
      </right>
      <top/>
      <bottom/>
      <diagonal/>
    </border>
    <border>
      <left style="thin">
        <color theme="0" tint="-4.9989318521683403E-2"/>
      </left>
      <right style="thin">
        <color theme="0" tint="-4.9989318521683403E-2"/>
      </right>
      <top/>
      <bottom/>
      <diagonal/>
    </border>
    <border>
      <left style="thin">
        <color theme="0" tint="-4.9989318521683403E-2"/>
      </left>
      <right/>
      <top/>
      <bottom style="thin">
        <color theme="0" tint="-4.9989318521683403E-2"/>
      </bottom>
      <diagonal/>
    </border>
    <border>
      <left/>
      <right style="thin">
        <color theme="0" tint="-4.9989318521683403E-2"/>
      </right>
      <top/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0" tint="-4.9989318521683403E-2"/>
      </right>
      <top/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/>
      <top style="thin">
        <color theme="0" tint="-4.9989318521683403E-2"/>
      </top>
      <bottom style="thin">
        <color theme="0" tint="-4.9989318521683403E-2"/>
      </bottom>
      <diagonal/>
    </border>
    <border>
      <left/>
      <right style="hair">
        <color theme="1" tint="0.24994659260841701"/>
      </right>
      <top style="thin">
        <color theme="0" tint="-4.9989318521683403E-2"/>
      </top>
      <bottom style="hair">
        <color theme="1" tint="0.24994659260841701"/>
      </bottom>
      <diagonal/>
    </border>
    <border>
      <left style="hair">
        <color theme="1" tint="0.24994659260841701"/>
      </left>
      <right style="hair">
        <color theme="1" tint="0.24994659260841701"/>
      </right>
      <top style="thin">
        <color theme="0" tint="-4.9989318521683403E-2"/>
      </top>
      <bottom style="hair">
        <color theme="1" tint="0.24994659260841701"/>
      </bottom>
      <diagonal/>
    </border>
    <border>
      <left style="hair">
        <color theme="1" tint="0.24994659260841701"/>
      </left>
      <right/>
      <top style="thin">
        <color theme="0" tint="-4.9989318521683403E-2"/>
      </top>
      <bottom style="hair">
        <color theme="1" tint="0.24994659260841701"/>
      </bottom>
      <diagonal/>
    </border>
    <border>
      <left/>
      <right style="hair">
        <color theme="1" tint="0.24994659260841701"/>
      </right>
      <top/>
      <bottom style="hair">
        <color theme="1" tint="0.24994659260841701"/>
      </bottom>
      <diagonal/>
    </border>
    <border>
      <left style="hair">
        <color theme="1" tint="0.24994659260841701"/>
      </left>
      <right style="hair">
        <color theme="1" tint="0.24994659260841701"/>
      </right>
      <top/>
      <bottom style="hair">
        <color theme="1" tint="0.24994659260841701"/>
      </bottom>
      <diagonal/>
    </border>
    <border>
      <left style="hair">
        <color theme="1" tint="0.24994659260841701"/>
      </left>
      <right/>
      <top/>
      <bottom style="hair">
        <color theme="1" tint="0.24994659260841701"/>
      </bottom>
      <diagonal/>
    </border>
    <border>
      <left/>
      <right style="hair">
        <color theme="1" tint="0.24994659260841701"/>
      </right>
      <top style="hair">
        <color theme="1" tint="0.24994659260841701"/>
      </top>
      <bottom style="hair">
        <color theme="1" tint="0.24994659260841701"/>
      </bottom>
      <diagonal/>
    </border>
    <border>
      <left style="hair">
        <color theme="1" tint="0.24994659260841701"/>
      </left>
      <right style="hair">
        <color theme="1" tint="0.24994659260841701"/>
      </right>
      <top style="hair">
        <color theme="1" tint="0.24994659260841701"/>
      </top>
      <bottom style="hair">
        <color theme="1" tint="0.24994659260841701"/>
      </bottom>
      <diagonal/>
    </border>
    <border>
      <left style="hair">
        <color theme="1" tint="0.24994659260841701"/>
      </left>
      <right/>
      <top style="hair">
        <color theme="1" tint="0.24994659260841701"/>
      </top>
      <bottom style="hair">
        <color theme="1" tint="0.24994659260841701"/>
      </bottom>
      <diagonal/>
    </border>
    <border>
      <left style="thin">
        <color theme="0" tint="-0.24994659260841701"/>
      </left>
      <right/>
      <top/>
      <bottom style="thin">
        <color theme="0" tint="-0.24994659260841701"/>
      </bottom>
      <diagonal/>
    </border>
    <border>
      <left/>
      <right/>
      <top/>
      <bottom style="thin">
        <color theme="0" tint="-0.24994659260841701"/>
      </bottom>
      <diagonal/>
    </border>
    <border>
      <left/>
      <right style="thin">
        <color theme="0" tint="-0.24994659260841701"/>
      </right>
      <top/>
      <bottom style="thin">
        <color theme="0" tint="-0.24994659260841701"/>
      </bottom>
      <diagonal/>
    </border>
  </borders>
  <cellStyleXfs count="6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2" fillId="0" borderId="0">
      <alignment vertical="center"/>
    </xf>
    <xf numFmtId="41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</cellStyleXfs>
  <cellXfs count="94">
    <xf numFmtId="0" fontId="0" fillId="0" borderId="0" xfId="0">
      <alignment vertical="center"/>
    </xf>
    <xf numFmtId="0" fontId="2" fillId="0" borderId="0" xfId="0" applyFont="1">
      <alignment vertic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176" fontId="2" fillId="0" borderId="0" xfId="0" applyNumberFormat="1" applyFont="1" applyAlignment="1">
      <alignment horizontal="center" vertical="center"/>
    </xf>
    <xf numFmtId="41" fontId="4" fillId="0" borderId="0" xfId="1" applyFont="1">
      <alignment vertical="center"/>
    </xf>
    <xf numFmtId="9" fontId="2" fillId="0" borderId="0" xfId="2" applyFont="1">
      <alignment vertical="center"/>
    </xf>
    <xf numFmtId="9" fontId="2" fillId="0" borderId="0" xfId="2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 wrapText="1"/>
    </xf>
    <xf numFmtId="41" fontId="7" fillId="3" borderId="1" xfId="1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9" fontId="7" fillId="4" borderId="1" xfId="2" applyFont="1" applyFill="1" applyBorder="1" applyAlignment="1">
      <alignment horizontal="center" vertical="center"/>
    </xf>
    <xf numFmtId="9" fontId="7" fillId="4" borderId="1" xfId="2" applyFont="1" applyFill="1" applyBorder="1" applyAlignment="1">
      <alignment horizontal="center" vertical="center" wrapText="1"/>
    </xf>
    <xf numFmtId="0" fontId="2" fillId="0" borderId="1" xfId="0" applyFont="1" applyBorder="1">
      <alignment vertical="center"/>
    </xf>
    <xf numFmtId="0" fontId="2" fillId="0" borderId="1" xfId="0" applyFont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177" fontId="2" fillId="0" borderId="1" xfId="0" applyNumberFormat="1" applyFont="1" applyBorder="1" applyAlignment="1">
      <alignment horizontal="center" vertical="center"/>
    </xf>
    <xf numFmtId="176" fontId="2" fillId="0" borderId="1" xfId="0" applyNumberFormat="1" applyFont="1" applyBorder="1" applyAlignment="1">
      <alignment horizontal="center" vertical="center"/>
    </xf>
    <xf numFmtId="178" fontId="2" fillId="0" borderId="1" xfId="1" applyNumberFormat="1" applyFont="1" applyBorder="1">
      <alignment vertical="center"/>
    </xf>
    <xf numFmtId="9" fontId="10" fillId="0" borderId="1" xfId="2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178" fontId="2" fillId="0" borderId="1" xfId="0" applyNumberFormat="1" applyFont="1" applyBorder="1">
      <alignment vertical="center"/>
    </xf>
    <xf numFmtId="41" fontId="2" fillId="0" borderId="1" xfId="1" applyFont="1" applyBorder="1">
      <alignment vertical="center"/>
    </xf>
    <xf numFmtId="9" fontId="11" fillId="0" borderId="1" xfId="2" applyFont="1" applyBorder="1">
      <alignment vertical="center"/>
    </xf>
    <xf numFmtId="9" fontId="11" fillId="0" borderId="1" xfId="2" applyFont="1" applyBorder="1" applyAlignment="1">
      <alignment horizontal="center" vertical="center"/>
    </xf>
    <xf numFmtId="0" fontId="2" fillId="0" borderId="2" xfId="0" applyFont="1" applyBorder="1">
      <alignment vertical="center"/>
    </xf>
    <xf numFmtId="0" fontId="13" fillId="0" borderId="0" xfId="3" applyFont="1" applyAlignment="1">
      <alignment horizontal="left" vertical="center"/>
    </xf>
    <xf numFmtId="0" fontId="15" fillId="0" borderId="0" xfId="3" applyFont="1">
      <alignment vertical="center"/>
    </xf>
    <xf numFmtId="0" fontId="15" fillId="0" borderId="0" xfId="3" applyFont="1" applyAlignment="1">
      <alignment horizontal="center" vertical="center"/>
    </xf>
    <xf numFmtId="41" fontId="15" fillId="0" borderId="0" xfId="4" applyFont="1">
      <alignment vertical="center"/>
    </xf>
    <xf numFmtId="0" fontId="9" fillId="2" borderId="3" xfId="3" applyFont="1" applyFill="1" applyBorder="1">
      <alignment vertical="center"/>
    </xf>
    <xf numFmtId="0" fontId="9" fillId="2" borderId="4" xfId="3" applyFont="1" applyFill="1" applyBorder="1">
      <alignment vertical="center"/>
    </xf>
    <xf numFmtId="0" fontId="9" fillId="2" borderId="4" xfId="3" applyFont="1" applyFill="1" applyBorder="1" applyAlignment="1">
      <alignment horizontal="center" vertical="center"/>
    </xf>
    <xf numFmtId="0" fontId="16" fillId="0" borderId="0" xfId="3" applyFont="1">
      <alignment vertical="center"/>
    </xf>
    <xf numFmtId="0" fontId="9" fillId="2" borderId="6" xfId="3" applyFont="1" applyFill="1" applyBorder="1" applyAlignment="1">
      <alignment horizontal="center" vertical="center"/>
    </xf>
    <xf numFmtId="0" fontId="9" fillId="2" borderId="6" xfId="3" applyFont="1" applyFill="1" applyBorder="1">
      <alignment vertical="center"/>
    </xf>
    <xf numFmtId="0" fontId="9" fillId="2" borderId="7" xfId="3" applyFont="1" applyFill="1" applyBorder="1">
      <alignment vertical="center"/>
    </xf>
    <xf numFmtId="0" fontId="9" fillId="2" borderId="7" xfId="3" applyFont="1" applyFill="1" applyBorder="1" applyAlignment="1">
      <alignment horizontal="center" vertical="center"/>
    </xf>
    <xf numFmtId="0" fontId="9" fillId="2" borderId="8" xfId="3" applyFont="1" applyFill="1" applyBorder="1" applyAlignment="1">
      <alignment horizontal="center" vertical="center"/>
    </xf>
    <xf numFmtId="0" fontId="9" fillId="4" borderId="8" xfId="3" applyFont="1" applyFill="1" applyBorder="1" applyAlignment="1">
      <alignment horizontal="center" vertical="center"/>
    </xf>
    <xf numFmtId="0" fontId="9" fillId="4" borderId="9" xfId="3" applyFont="1" applyFill="1" applyBorder="1" applyAlignment="1">
      <alignment horizontal="center" vertical="center"/>
    </xf>
    <xf numFmtId="176" fontId="17" fillId="6" borderId="10" xfId="3" applyNumberFormat="1" applyFont="1" applyFill="1" applyBorder="1" applyAlignment="1">
      <alignment horizontal="center" vertical="center"/>
    </xf>
    <xf numFmtId="178" fontId="17" fillId="6" borderId="11" xfId="3" applyNumberFormat="1" applyFont="1" applyFill="1" applyBorder="1" applyAlignment="1">
      <alignment horizontal="center" vertical="center"/>
    </xf>
    <xf numFmtId="176" fontId="16" fillId="0" borderId="0" xfId="3" applyNumberFormat="1" applyFont="1" applyAlignment="1">
      <alignment horizontal="left" vertical="center"/>
    </xf>
    <xf numFmtId="176" fontId="17" fillId="6" borderId="13" xfId="3" applyNumberFormat="1" applyFont="1" applyFill="1" applyBorder="1" applyAlignment="1">
      <alignment horizontal="center" vertical="center"/>
    </xf>
    <xf numFmtId="176" fontId="19" fillId="6" borderId="14" xfId="3" applyNumberFormat="1" applyFont="1" applyFill="1" applyBorder="1" applyAlignment="1">
      <alignment horizontal="center" vertical="center"/>
    </xf>
    <xf numFmtId="178" fontId="17" fillId="6" borderId="14" xfId="3" applyNumberFormat="1" applyFont="1" applyFill="1" applyBorder="1" applyAlignment="1">
      <alignment horizontal="center" vertical="center"/>
    </xf>
    <xf numFmtId="0" fontId="20" fillId="0" borderId="16" xfId="3" applyFont="1" applyBorder="1" applyAlignment="1">
      <alignment horizontal="left" vertical="center"/>
    </xf>
    <xf numFmtId="0" fontId="20" fillId="0" borderId="16" xfId="3" applyFont="1" applyBorder="1" applyAlignment="1">
      <alignment horizontal="center" vertical="center"/>
    </xf>
    <xf numFmtId="0" fontId="20" fillId="0" borderId="17" xfId="3" applyFont="1" applyBorder="1">
      <alignment vertical="center"/>
    </xf>
    <xf numFmtId="0" fontId="20" fillId="0" borderId="17" xfId="3" applyFont="1" applyBorder="1" applyAlignment="1">
      <alignment horizontal="center" vertical="center"/>
    </xf>
    <xf numFmtId="41" fontId="20" fillId="0" borderId="17" xfId="4" applyFont="1" applyBorder="1" applyAlignment="1">
      <alignment horizontal="center" vertical="center"/>
    </xf>
    <xf numFmtId="41" fontId="20" fillId="0" borderId="18" xfId="4" applyFont="1" applyBorder="1" applyAlignment="1">
      <alignment horizontal="center" vertical="center"/>
    </xf>
    <xf numFmtId="9" fontId="20" fillId="0" borderId="17" xfId="5" applyFont="1" applyBorder="1" applyAlignment="1">
      <alignment horizontal="center" vertical="center"/>
    </xf>
    <xf numFmtId="0" fontId="21" fillId="7" borderId="17" xfId="3" applyFont="1" applyFill="1" applyBorder="1" applyAlignment="1">
      <alignment horizontal="center" vertical="center"/>
    </xf>
    <xf numFmtId="0" fontId="22" fillId="0" borderId="0" xfId="3" applyFont="1">
      <alignment vertical="center"/>
    </xf>
    <xf numFmtId="41" fontId="20" fillId="8" borderId="17" xfId="4" applyFont="1" applyFill="1" applyBorder="1" applyAlignment="1">
      <alignment horizontal="center" vertical="center"/>
    </xf>
    <xf numFmtId="0" fontId="20" fillId="0" borderId="16" xfId="3" applyFont="1" applyBorder="1">
      <alignment vertical="center"/>
    </xf>
    <xf numFmtId="0" fontId="20" fillId="0" borderId="18" xfId="3" applyFont="1" applyBorder="1">
      <alignment vertical="center"/>
    </xf>
    <xf numFmtId="0" fontId="9" fillId="4" borderId="5" xfId="3" applyFont="1" applyFill="1" applyBorder="1" applyAlignment="1">
      <alignment horizontal="center" vertical="center"/>
    </xf>
    <xf numFmtId="0" fontId="9" fillId="4" borderId="6" xfId="3" applyFont="1" applyFill="1" applyBorder="1" applyAlignment="1">
      <alignment horizontal="center" vertical="center"/>
    </xf>
    <xf numFmtId="0" fontId="5" fillId="2" borderId="19" xfId="0" applyFont="1" applyFill="1" applyBorder="1" applyAlignment="1">
      <alignment horizontal="center" vertical="center"/>
    </xf>
    <xf numFmtId="0" fontId="5" fillId="2" borderId="20" xfId="0" applyFont="1" applyFill="1" applyBorder="1" applyAlignment="1">
      <alignment horizontal="center" vertical="center"/>
    </xf>
    <xf numFmtId="0" fontId="5" fillId="2" borderId="21" xfId="0" applyFont="1" applyFill="1" applyBorder="1" applyAlignment="1">
      <alignment horizontal="center" vertical="center"/>
    </xf>
    <xf numFmtId="0" fontId="5" fillId="3" borderId="19" xfId="0" applyFont="1" applyFill="1" applyBorder="1" applyAlignment="1">
      <alignment horizontal="center" vertical="center"/>
    </xf>
    <xf numFmtId="0" fontId="5" fillId="3" borderId="20" xfId="0" applyFont="1" applyFill="1" applyBorder="1" applyAlignment="1">
      <alignment horizontal="center" vertical="center"/>
    </xf>
    <xf numFmtId="0" fontId="5" fillId="3" borderId="21" xfId="0" applyFont="1" applyFill="1" applyBorder="1" applyAlignment="1">
      <alignment horizontal="center" vertical="center"/>
    </xf>
    <xf numFmtId="0" fontId="5" fillId="4" borderId="19" xfId="0" applyFont="1" applyFill="1" applyBorder="1" applyAlignment="1">
      <alignment horizontal="center" vertical="center"/>
    </xf>
    <xf numFmtId="0" fontId="5" fillId="4" borderId="21" xfId="0" applyFont="1" applyFill="1" applyBorder="1" applyAlignment="1">
      <alignment horizontal="center" vertical="center"/>
    </xf>
    <xf numFmtId="14" fontId="7" fillId="2" borderId="1" xfId="0" applyNumberFormat="1" applyFont="1" applyFill="1" applyBorder="1" applyAlignment="1">
      <alignment horizontal="center" vertical="center"/>
    </xf>
    <xf numFmtId="14" fontId="27" fillId="2" borderId="1" xfId="0" applyNumberFormat="1" applyFont="1" applyFill="1" applyBorder="1" applyAlignment="1">
      <alignment horizontal="center" vertical="center"/>
    </xf>
    <xf numFmtId="176" fontId="7" fillId="2" borderId="1" xfId="0" applyNumberFormat="1" applyFont="1" applyFill="1" applyBorder="1" applyAlignment="1">
      <alignment horizontal="center" vertical="center"/>
    </xf>
    <xf numFmtId="0" fontId="9" fillId="2" borderId="3" xfId="3" applyFont="1" applyFill="1" applyBorder="1" applyAlignment="1">
      <alignment horizontal="center" vertical="center"/>
    </xf>
    <xf numFmtId="0" fontId="9" fillId="5" borderId="5" xfId="3" applyFont="1" applyFill="1" applyBorder="1" applyAlignment="1">
      <alignment horizontal="center" vertical="center"/>
    </xf>
    <xf numFmtId="0" fontId="9" fillId="5" borderId="6" xfId="3" applyFont="1" applyFill="1" applyBorder="1" applyAlignment="1">
      <alignment horizontal="center" vertical="center"/>
    </xf>
    <xf numFmtId="0" fontId="9" fillId="5" borderId="5" xfId="3" applyFont="1" applyFill="1" applyBorder="1" applyAlignment="1">
      <alignment horizontal="center" vertical="center" wrapText="1"/>
    </xf>
    <xf numFmtId="0" fontId="9" fillId="5" borderId="6" xfId="3" applyFont="1" applyFill="1" applyBorder="1" applyAlignment="1">
      <alignment horizontal="center" vertical="center" wrapText="1"/>
    </xf>
    <xf numFmtId="0" fontId="9" fillId="2" borderId="7" xfId="3" applyFont="1" applyFill="1" applyBorder="1" applyAlignment="1">
      <alignment horizontal="center" vertical="center" wrapText="1"/>
    </xf>
    <xf numFmtId="0" fontId="9" fillId="2" borderId="4" xfId="3" applyFont="1" applyFill="1" applyBorder="1" applyAlignment="1">
      <alignment horizontal="center" vertical="center" wrapText="1"/>
    </xf>
    <xf numFmtId="176" fontId="17" fillId="6" borderId="11" xfId="3" applyNumberFormat="1" applyFont="1" applyFill="1" applyBorder="1" applyAlignment="1">
      <alignment horizontal="center" vertical="center"/>
    </xf>
    <xf numFmtId="178" fontId="18" fillId="6" borderId="11" xfId="3" applyNumberFormat="1" applyFont="1" applyFill="1" applyBorder="1" applyAlignment="1">
      <alignment horizontal="center" vertical="center"/>
    </xf>
    <xf numFmtId="178" fontId="18" fillId="6" borderId="12" xfId="3" applyNumberFormat="1" applyFont="1" applyFill="1" applyBorder="1" applyAlignment="1">
      <alignment horizontal="center" vertical="center"/>
    </xf>
    <xf numFmtId="9" fontId="18" fillId="6" borderId="11" xfId="5" applyFont="1" applyFill="1" applyBorder="1" applyAlignment="1">
      <alignment horizontal="center" vertical="center"/>
    </xf>
    <xf numFmtId="178" fontId="17" fillId="6" borderId="11" xfId="4" applyNumberFormat="1" applyFont="1" applyFill="1" applyBorder="1" applyAlignment="1">
      <alignment horizontal="center" vertical="center"/>
    </xf>
    <xf numFmtId="176" fontId="17" fillId="6" borderId="14" xfId="3" applyNumberFormat="1" applyFont="1" applyFill="1" applyBorder="1" applyAlignment="1">
      <alignment horizontal="center" vertical="center"/>
    </xf>
    <xf numFmtId="178" fontId="18" fillId="6" borderId="14" xfId="3" applyNumberFormat="1" applyFont="1" applyFill="1" applyBorder="1" applyAlignment="1">
      <alignment horizontal="center" vertical="center"/>
    </xf>
    <xf numFmtId="178" fontId="18" fillId="6" borderId="15" xfId="3" applyNumberFormat="1" applyFont="1" applyFill="1" applyBorder="1" applyAlignment="1">
      <alignment horizontal="center" vertical="center"/>
    </xf>
    <xf numFmtId="9" fontId="18" fillId="6" borderId="14" xfId="5" applyFont="1" applyFill="1" applyBorder="1" applyAlignment="1">
      <alignment horizontal="center" vertical="center"/>
    </xf>
    <xf numFmtId="178" fontId="17" fillId="6" borderId="14" xfId="4" applyNumberFormat="1" applyFont="1" applyFill="1" applyBorder="1" applyAlignment="1">
      <alignment horizontal="center" vertical="center"/>
    </xf>
    <xf numFmtId="178" fontId="17" fillId="6" borderId="15" xfId="4" applyNumberFormat="1" applyFont="1" applyFill="1" applyBorder="1" applyAlignment="1">
      <alignment horizontal="center" vertical="center"/>
    </xf>
    <xf numFmtId="0" fontId="20" fillId="0" borderId="18" xfId="4" applyNumberFormat="1" applyFont="1" applyBorder="1" applyAlignment="1">
      <alignment horizontal="center" vertical="center"/>
    </xf>
  </cellXfs>
  <cellStyles count="6">
    <cellStyle name="백분율" xfId="2" builtinId="5"/>
    <cellStyle name="백분율 2" xfId="5" xr:uid="{AF9F9733-1FB6-458A-9170-B844D82421AB}"/>
    <cellStyle name="쉼표 [0]" xfId="1" builtinId="6"/>
    <cellStyle name="쉼표 [0] 2" xfId="4" xr:uid="{6DEF4736-A82D-46F1-8C83-6BBDFF8F7CE0}"/>
    <cellStyle name="표준" xfId="0" builtinId="0"/>
    <cellStyle name="표준 2" xfId="3" xr:uid="{93B18076-440F-4C22-8412-54942F784DAC}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210AA3-7847-43FF-850D-8AA0BAEE724E}">
  <sheetPr>
    <pageSetUpPr fitToPage="1"/>
  </sheetPr>
  <dimension ref="A1:O242"/>
  <sheetViews>
    <sheetView showGridLines="0" topLeftCell="B1" zoomScale="90" zoomScaleNormal="90" workbookViewId="0">
      <pane ySplit="3" topLeftCell="A4" activePane="bottomLeft" state="frozen"/>
      <selection pane="bottomLeft" activeCell="B11" sqref="B11"/>
    </sheetView>
  </sheetViews>
  <sheetFormatPr defaultRowHeight="13" x14ac:dyDescent="0.3"/>
  <cols>
    <col min="1" max="1" width="5.6640625" style="1" hidden="1" customWidth="1"/>
    <col min="2" max="2" width="27.6640625" style="16" customWidth="1"/>
    <col min="3" max="3" width="12.25" style="17" customWidth="1"/>
    <col min="4" max="4" width="8.6640625" style="17"/>
    <col min="5" max="5" width="10.33203125" style="18" customWidth="1"/>
    <col min="6" max="6" width="9.58203125" style="19" customWidth="1"/>
    <col min="7" max="7" width="9.58203125" style="18" customWidth="1"/>
    <col min="8" max="8" width="8.33203125" style="20" customWidth="1"/>
    <col min="9" max="9" width="13.08203125" style="16" bestFit="1" customWidth="1"/>
    <col min="10" max="10" width="10.75" style="16" customWidth="1"/>
    <col min="11" max="11" width="10.9140625" style="16" customWidth="1"/>
    <col min="12" max="12" width="13.9140625" style="25" customWidth="1"/>
    <col min="13" max="13" width="11.58203125" style="16" customWidth="1"/>
    <col min="14" max="14" width="8.6640625" style="26"/>
    <col min="15" max="15" width="10.75" style="27" customWidth="1"/>
    <col min="16" max="16" width="8.9140625" style="1" customWidth="1"/>
    <col min="17" max="16384" width="8.6640625" style="1"/>
  </cols>
  <sheetData>
    <row r="1" spans="1:15" x14ac:dyDescent="0.3">
      <c r="B1" s="1"/>
      <c r="C1" s="2"/>
      <c r="D1" s="2"/>
      <c r="E1" s="3"/>
      <c r="F1" s="2"/>
      <c r="G1" s="3"/>
      <c r="H1" s="4"/>
      <c r="I1" s="5"/>
      <c r="J1" s="5"/>
      <c r="K1" s="5"/>
      <c r="L1" s="5"/>
      <c r="M1" s="5"/>
      <c r="N1" s="6"/>
      <c r="O1" s="7"/>
    </row>
    <row r="2" spans="1:15" ht="26" customHeight="1" x14ac:dyDescent="0.3">
      <c r="B2" s="64" t="s">
        <v>513</v>
      </c>
      <c r="C2" s="65"/>
      <c r="D2" s="65"/>
      <c r="E2" s="65"/>
      <c r="F2" s="65"/>
      <c r="G2" s="65"/>
      <c r="H2" s="66"/>
      <c r="I2" s="67" t="s">
        <v>514</v>
      </c>
      <c r="J2" s="68"/>
      <c r="K2" s="68"/>
      <c r="L2" s="68"/>
      <c r="M2" s="69"/>
      <c r="N2" s="70" t="s">
        <v>515</v>
      </c>
      <c r="O2" s="71"/>
    </row>
    <row r="3" spans="1:15" s="2" customFormat="1" ht="32" x14ac:dyDescent="0.3">
      <c r="A3" s="8" t="s">
        <v>0</v>
      </c>
      <c r="B3" s="9" t="s">
        <v>516</v>
      </c>
      <c r="C3" s="9" t="s">
        <v>517</v>
      </c>
      <c r="D3" s="9" t="s">
        <v>518</v>
      </c>
      <c r="E3" s="72" t="s">
        <v>519</v>
      </c>
      <c r="F3" s="10" t="s">
        <v>520</v>
      </c>
      <c r="G3" s="73" t="s">
        <v>521</v>
      </c>
      <c r="H3" s="74" t="s">
        <v>538</v>
      </c>
      <c r="I3" s="11" t="s">
        <v>522</v>
      </c>
      <c r="J3" s="11" t="s">
        <v>523</v>
      </c>
      <c r="K3" s="11" t="s">
        <v>524</v>
      </c>
      <c r="L3" s="12" t="s">
        <v>525</v>
      </c>
      <c r="M3" s="13" t="s">
        <v>526</v>
      </c>
      <c r="N3" s="14" t="s">
        <v>527</v>
      </c>
      <c r="O3" s="15" t="s">
        <v>528</v>
      </c>
    </row>
    <row r="4" spans="1:15" x14ac:dyDescent="0.3">
      <c r="A4" s="1" t="s">
        <v>257</v>
      </c>
      <c r="B4" s="16" t="s">
        <v>204</v>
      </c>
      <c r="C4" s="17" t="s">
        <v>10</v>
      </c>
      <c r="D4" s="17" t="s">
        <v>18</v>
      </c>
      <c r="E4" s="18">
        <v>45750</v>
      </c>
      <c r="F4" s="19">
        <v>4</v>
      </c>
      <c r="H4" s="20">
        <v>1</v>
      </c>
      <c r="I4" s="21">
        <v>3574978.7500000023</v>
      </c>
      <c r="J4" s="21">
        <v>11736</v>
      </c>
      <c r="K4" s="21">
        <v>10241</v>
      </c>
      <c r="L4" s="21">
        <v>3825285.4600000004</v>
      </c>
      <c r="M4" s="21">
        <v>6000000</v>
      </c>
      <c r="N4" s="22">
        <f t="shared" ref="N4:N67" si="0">IFERROR(L4/I4,"")</f>
        <v>1.0700162791177423</v>
      </c>
      <c r="O4" s="22">
        <f t="shared" ref="O4:O67" si="1">IF(D4="a",K4/25000,IF(D4="b",K4/15000,IF(D4="c",K4/5000)))/H4</f>
        <v>0.6827333333333333</v>
      </c>
    </row>
    <row r="5" spans="1:15" x14ac:dyDescent="0.3">
      <c r="B5" s="16" t="s">
        <v>157</v>
      </c>
      <c r="C5" s="17" t="s">
        <v>10</v>
      </c>
      <c r="D5" s="17" t="s">
        <v>4</v>
      </c>
      <c r="E5" s="18">
        <v>45771</v>
      </c>
      <c r="F5" s="19">
        <v>4</v>
      </c>
      <c r="H5" s="20">
        <v>1</v>
      </c>
      <c r="I5" s="21">
        <v>3602488.4799999851</v>
      </c>
      <c r="J5" s="21">
        <v>8700</v>
      </c>
      <c r="K5" s="21">
        <v>8642</v>
      </c>
      <c r="L5" s="21">
        <v>2154041.5699999998</v>
      </c>
      <c r="M5" s="21">
        <v>6000000</v>
      </c>
      <c r="N5" s="22">
        <f t="shared" si="0"/>
        <v>0.59793156368400346</v>
      </c>
      <c r="O5" s="22">
        <f t="shared" si="1"/>
        <v>1.7283999999999999</v>
      </c>
    </row>
    <row r="6" spans="1:15" x14ac:dyDescent="0.3">
      <c r="B6" s="16" t="s">
        <v>190</v>
      </c>
      <c r="C6" s="17" t="s">
        <v>10</v>
      </c>
      <c r="D6" s="17" t="s">
        <v>4</v>
      </c>
      <c r="E6" s="18">
        <v>45775</v>
      </c>
      <c r="F6" s="19">
        <v>4</v>
      </c>
      <c r="G6" s="18">
        <v>46506</v>
      </c>
      <c r="H6" s="20">
        <v>2</v>
      </c>
      <c r="I6" s="21">
        <v>2025891.8000000017</v>
      </c>
      <c r="J6" s="21">
        <v>5649</v>
      </c>
      <c r="K6" s="21">
        <v>5632</v>
      </c>
      <c r="L6" s="21">
        <v>2051505.6999999997</v>
      </c>
      <c r="M6" s="21">
        <v>3000000</v>
      </c>
      <c r="N6" s="22">
        <f t="shared" si="0"/>
        <v>1.0126432714718516</v>
      </c>
      <c r="O6" s="22">
        <f t="shared" si="1"/>
        <v>0.56320000000000003</v>
      </c>
    </row>
    <row r="7" spans="1:15" x14ac:dyDescent="0.3">
      <c r="A7" s="1" t="s">
        <v>136</v>
      </c>
      <c r="B7" s="16" t="s">
        <v>250</v>
      </c>
      <c r="C7" s="17" t="s">
        <v>10</v>
      </c>
      <c r="D7" s="17" t="s">
        <v>4</v>
      </c>
      <c r="E7" s="18">
        <v>45793</v>
      </c>
      <c r="F7" s="19">
        <v>5</v>
      </c>
      <c r="H7" s="20">
        <v>1</v>
      </c>
      <c r="I7" s="21">
        <v>1752956.6799999964</v>
      </c>
      <c r="J7" s="21">
        <v>5636</v>
      </c>
      <c r="K7" s="21">
        <v>4981</v>
      </c>
      <c r="L7" s="21">
        <v>1429533.92</v>
      </c>
      <c r="M7" s="21">
        <v>3000000</v>
      </c>
      <c r="N7" s="22">
        <f t="shared" si="0"/>
        <v>0.81549871500532622</v>
      </c>
      <c r="O7" s="22">
        <f t="shared" si="1"/>
        <v>0.99619999999999997</v>
      </c>
    </row>
    <row r="8" spans="1:15" x14ac:dyDescent="0.3">
      <c r="A8" s="1" t="s">
        <v>35</v>
      </c>
      <c r="B8" s="16" t="s">
        <v>70</v>
      </c>
      <c r="C8" s="17" t="s">
        <v>10</v>
      </c>
      <c r="D8" s="17" t="s">
        <v>4</v>
      </c>
      <c r="E8" s="18">
        <v>45741</v>
      </c>
      <c r="F8" s="19">
        <v>3</v>
      </c>
      <c r="G8" s="18">
        <v>46254</v>
      </c>
      <c r="H8" s="20">
        <v>2</v>
      </c>
      <c r="I8" s="21">
        <v>3385088.1199999964</v>
      </c>
      <c r="J8" s="21">
        <v>10679</v>
      </c>
      <c r="K8" s="21">
        <v>9514</v>
      </c>
      <c r="L8" s="21">
        <v>3826500</v>
      </c>
      <c r="M8" s="21">
        <v>4000000</v>
      </c>
      <c r="N8" s="22">
        <f t="shared" si="0"/>
        <v>1.1303989333075335</v>
      </c>
      <c r="O8" s="22">
        <f t="shared" si="1"/>
        <v>0.95140000000000002</v>
      </c>
    </row>
    <row r="9" spans="1:15" x14ac:dyDescent="0.3">
      <c r="B9" s="16" t="s">
        <v>151</v>
      </c>
      <c r="C9" s="17" t="s">
        <v>10</v>
      </c>
      <c r="D9" s="17" t="s">
        <v>18</v>
      </c>
      <c r="E9" s="18">
        <v>45719</v>
      </c>
      <c r="F9" s="19">
        <v>3</v>
      </c>
      <c r="H9" s="20">
        <v>1</v>
      </c>
      <c r="I9" s="21">
        <v>300366.39</v>
      </c>
      <c r="J9" s="21">
        <v>801</v>
      </c>
      <c r="K9" s="21">
        <v>801</v>
      </c>
      <c r="L9" s="21">
        <v>334494.04999999993</v>
      </c>
      <c r="M9" s="21">
        <v>12000000</v>
      </c>
      <c r="N9" s="22">
        <f t="shared" si="0"/>
        <v>1.1136201024355619</v>
      </c>
      <c r="O9" s="22">
        <f t="shared" si="1"/>
        <v>5.3400000000000003E-2</v>
      </c>
    </row>
    <row r="10" spans="1:15" x14ac:dyDescent="0.3">
      <c r="A10" s="1" t="s">
        <v>231</v>
      </c>
      <c r="B10" s="16" t="s">
        <v>297</v>
      </c>
      <c r="C10" s="17" t="s">
        <v>10</v>
      </c>
      <c r="D10" s="17" t="s">
        <v>4</v>
      </c>
      <c r="E10" s="18">
        <v>45786</v>
      </c>
      <c r="F10" s="19">
        <v>5</v>
      </c>
      <c r="H10" s="20">
        <v>1</v>
      </c>
      <c r="I10" s="21">
        <v>439658.67000000097</v>
      </c>
      <c r="J10" s="21">
        <v>1241</v>
      </c>
      <c r="K10" s="21">
        <v>1209</v>
      </c>
      <c r="L10" s="21">
        <v>500782.63</v>
      </c>
      <c r="M10" s="21">
        <v>3000000</v>
      </c>
      <c r="N10" s="22">
        <f t="shared" si="0"/>
        <v>1.1390259402822625</v>
      </c>
      <c r="O10" s="22">
        <f t="shared" si="1"/>
        <v>0.24179999999999999</v>
      </c>
    </row>
    <row r="11" spans="1:15" x14ac:dyDescent="0.3">
      <c r="A11" s="1" t="s">
        <v>353</v>
      </c>
      <c r="B11" s="16" t="s">
        <v>314</v>
      </c>
      <c r="C11" s="17" t="s">
        <v>10</v>
      </c>
      <c r="D11" s="17" t="s">
        <v>4</v>
      </c>
      <c r="E11" s="18">
        <v>45812</v>
      </c>
      <c r="F11" s="19">
        <v>6</v>
      </c>
      <c r="H11" s="20">
        <v>1</v>
      </c>
      <c r="I11" s="21">
        <v>3365188.8500000094</v>
      </c>
      <c r="J11" s="21">
        <v>9853</v>
      </c>
      <c r="K11" s="21">
        <v>8521</v>
      </c>
      <c r="L11" s="21">
        <v>3802659.8599999994</v>
      </c>
      <c r="M11" s="21">
        <v>3802659.7899999996</v>
      </c>
      <c r="N11" s="22">
        <f t="shared" si="0"/>
        <v>1.1299989479045103</v>
      </c>
      <c r="O11" s="22">
        <f t="shared" si="1"/>
        <v>1.7041999999999999</v>
      </c>
    </row>
    <row r="12" spans="1:15" x14ac:dyDescent="0.3">
      <c r="A12" s="1" t="s">
        <v>203</v>
      </c>
      <c r="B12" s="16" t="s">
        <v>426</v>
      </c>
      <c r="C12" s="17" t="s">
        <v>10</v>
      </c>
      <c r="D12" s="17" t="s">
        <v>18</v>
      </c>
      <c r="E12" s="18">
        <v>46014</v>
      </c>
      <c r="F12" s="19">
        <v>12</v>
      </c>
      <c r="H12" s="20">
        <v>1</v>
      </c>
      <c r="I12" s="21">
        <v>1354238.7100000002</v>
      </c>
      <c r="J12" s="21">
        <v>3428</v>
      </c>
      <c r="K12" s="21">
        <v>3368</v>
      </c>
      <c r="L12" s="21">
        <v>1090865.22</v>
      </c>
      <c r="M12" s="21">
        <v>6000000</v>
      </c>
      <c r="N12" s="22">
        <f t="shared" si="0"/>
        <v>0.8055191540049832</v>
      </c>
      <c r="O12" s="22">
        <f t="shared" si="1"/>
        <v>0.22453333333333333</v>
      </c>
    </row>
    <row r="13" spans="1:15" x14ac:dyDescent="0.3">
      <c r="A13" s="1" t="s">
        <v>156</v>
      </c>
      <c r="B13" s="16" t="s">
        <v>163</v>
      </c>
      <c r="C13" s="17" t="s">
        <v>10</v>
      </c>
      <c r="D13" s="17" t="s">
        <v>4</v>
      </c>
      <c r="E13" s="18">
        <v>45758</v>
      </c>
      <c r="F13" s="19">
        <v>4</v>
      </c>
      <c r="G13" s="18">
        <v>46514</v>
      </c>
      <c r="H13" s="20">
        <v>3</v>
      </c>
      <c r="I13" s="21">
        <v>5444794.2300000321</v>
      </c>
      <c r="J13" s="21">
        <v>16943</v>
      </c>
      <c r="K13" s="21">
        <v>15002</v>
      </c>
      <c r="L13" s="21">
        <v>6200000</v>
      </c>
      <c r="M13" s="21">
        <v>7000000</v>
      </c>
      <c r="N13" s="22">
        <f t="shared" si="0"/>
        <v>1.1387023527608984</v>
      </c>
      <c r="O13" s="22">
        <f t="shared" si="1"/>
        <v>1.0001333333333333</v>
      </c>
    </row>
    <row r="14" spans="1:15" x14ac:dyDescent="0.3">
      <c r="A14" s="1" t="s">
        <v>189</v>
      </c>
      <c r="B14" s="16" t="s">
        <v>121</v>
      </c>
      <c r="C14" s="17" t="s">
        <v>10</v>
      </c>
      <c r="D14" s="17" t="s">
        <v>11</v>
      </c>
      <c r="E14" s="18">
        <v>45747</v>
      </c>
      <c r="F14" s="19">
        <v>3</v>
      </c>
      <c r="G14" s="18">
        <v>46472</v>
      </c>
      <c r="H14" s="20">
        <v>2</v>
      </c>
      <c r="I14" s="21">
        <v>10314872.359999996</v>
      </c>
      <c r="J14" s="21">
        <v>30653</v>
      </c>
      <c r="K14" s="21">
        <v>30653</v>
      </c>
      <c r="L14" s="21">
        <v>10522459.060000001</v>
      </c>
      <c r="M14" s="21">
        <v>22940000</v>
      </c>
      <c r="N14" s="22">
        <f t="shared" si="0"/>
        <v>1.0201249896998246</v>
      </c>
      <c r="O14" s="22">
        <f t="shared" si="1"/>
        <v>0.61306000000000005</v>
      </c>
    </row>
    <row r="15" spans="1:15" x14ac:dyDescent="0.3">
      <c r="A15" s="1" t="s">
        <v>249</v>
      </c>
      <c r="B15" s="16" t="s">
        <v>369</v>
      </c>
      <c r="C15" s="17" t="s">
        <v>10</v>
      </c>
      <c r="D15" s="17" t="s">
        <v>11</v>
      </c>
      <c r="E15" s="18">
        <v>45867</v>
      </c>
      <c r="F15" s="19">
        <v>7</v>
      </c>
      <c r="G15" s="18">
        <v>46402</v>
      </c>
      <c r="H15" s="20">
        <v>2</v>
      </c>
      <c r="I15" s="21">
        <v>13808911.920000015</v>
      </c>
      <c r="J15" s="21">
        <v>47101</v>
      </c>
      <c r="K15" s="21">
        <v>41095</v>
      </c>
      <c r="L15" s="21">
        <v>13629959.510000002</v>
      </c>
      <c r="M15" s="21">
        <v>20000000</v>
      </c>
      <c r="N15" s="22">
        <f t="shared" si="0"/>
        <v>0.98704080299470742</v>
      </c>
      <c r="O15" s="22">
        <f t="shared" si="1"/>
        <v>0.82189999999999996</v>
      </c>
    </row>
    <row r="16" spans="1:15" x14ac:dyDescent="0.3">
      <c r="A16" s="1" t="s">
        <v>69</v>
      </c>
      <c r="B16" s="16" t="s">
        <v>356</v>
      </c>
      <c r="C16" s="17" t="s">
        <v>10</v>
      </c>
      <c r="D16" s="17" t="s">
        <v>4</v>
      </c>
      <c r="E16" s="18">
        <v>45817</v>
      </c>
      <c r="F16" s="19">
        <v>6</v>
      </c>
      <c r="H16" s="20">
        <v>1</v>
      </c>
      <c r="I16" s="21">
        <v>102297.90000000011</v>
      </c>
      <c r="J16" s="21">
        <v>274</v>
      </c>
      <c r="K16" s="21">
        <v>273</v>
      </c>
      <c r="L16" s="21">
        <v>115596.57</v>
      </c>
      <c r="M16" s="21">
        <v>3000000</v>
      </c>
      <c r="N16" s="22">
        <f t="shared" si="0"/>
        <v>1.12999944280381</v>
      </c>
      <c r="O16" s="22">
        <f t="shared" si="1"/>
        <v>5.4600000000000003E-2</v>
      </c>
    </row>
    <row r="17" spans="1:15" x14ac:dyDescent="0.3">
      <c r="A17" s="1" t="s">
        <v>235</v>
      </c>
      <c r="B17" s="16" t="s">
        <v>34</v>
      </c>
      <c r="C17" s="17" t="s">
        <v>10</v>
      </c>
      <c r="D17" s="17" t="s">
        <v>4</v>
      </c>
      <c r="E17" s="18">
        <v>45712</v>
      </c>
      <c r="F17" s="19">
        <v>2</v>
      </c>
      <c r="G17" s="18">
        <v>46445</v>
      </c>
      <c r="H17" s="20">
        <v>2</v>
      </c>
      <c r="I17" s="21">
        <v>2482869.5799999987</v>
      </c>
      <c r="J17" s="21">
        <v>7705</v>
      </c>
      <c r="K17" s="21">
        <v>6988</v>
      </c>
      <c r="L17" s="21">
        <v>2820241.62</v>
      </c>
      <c r="M17" s="21">
        <v>4200000</v>
      </c>
      <c r="N17" s="22">
        <f t="shared" si="0"/>
        <v>1.1358798878191587</v>
      </c>
      <c r="O17" s="22">
        <f t="shared" si="1"/>
        <v>0.69879999999999998</v>
      </c>
    </row>
    <row r="18" spans="1:15" x14ac:dyDescent="0.3">
      <c r="A18" s="1" t="s">
        <v>150</v>
      </c>
      <c r="B18" s="16" t="s">
        <v>442</v>
      </c>
      <c r="C18" s="17" t="s">
        <v>10</v>
      </c>
      <c r="D18" s="17" t="s">
        <v>18</v>
      </c>
      <c r="E18" s="18">
        <v>46105</v>
      </c>
      <c r="F18" s="19" t="s">
        <v>435</v>
      </c>
      <c r="H18" s="20">
        <v>1</v>
      </c>
      <c r="I18" s="21">
        <v>190843.38000000003</v>
      </c>
      <c r="J18" s="21">
        <v>604</v>
      </c>
      <c r="K18" s="21">
        <v>604</v>
      </c>
      <c r="L18" s="21">
        <v>347343.04</v>
      </c>
      <c r="M18" s="21">
        <v>7000000</v>
      </c>
      <c r="N18" s="22">
        <f t="shared" si="0"/>
        <v>1.8200423823975447</v>
      </c>
      <c r="O18" s="22">
        <f t="shared" si="1"/>
        <v>4.0266666666666666E-2</v>
      </c>
    </row>
    <row r="19" spans="1:15" x14ac:dyDescent="0.3">
      <c r="A19" s="1" t="s">
        <v>296</v>
      </c>
      <c r="B19" s="16" t="s">
        <v>312</v>
      </c>
      <c r="C19" s="17" t="s">
        <v>10</v>
      </c>
      <c r="D19" s="17" t="s">
        <v>4</v>
      </c>
      <c r="E19" s="18">
        <v>45797</v>
      </c>
      <c r="F19" s="19">
        <v>5</v>
      </c>
      <c r="H19" s="20">
        <v>1</v>
      </c>
      <c r="I19" s="21">
        <v>10753.279999999986</v>
      </c>
      <c r="J19" s="21">
        <v>0</v>
      </c>
      <c r="K19" s="21">
        <v>-3</v>
      </c>
      <c r="L19" s="21">
        <v>24192.69</v>
      </c>
      <c r="M19" s="21">
        <v>3000000</v>
      </c>
      <c r="N19" s="22">
        <f t="shared" si="0"/>
        <v>2.2497963412093824</v>
      </c>
      <c r="O19" s="22">
        <f t="shared" si="1"/>
        <v>-5.9999999999999995E-4</v>
      </c>
    </row>
    <row r="20" spans="1:15" x14ac:dyDescent="0.3">
      <c r="A20" s="1" t="s">
        <v>313</v>
      </c>
      <c r="B20" s="16" t="s">
        <v>77</v>
      </c>
      <c r="C20" s="17" t="s">
        <v>10</v>
      </c>
      <c r="D20" s="17" t="s">
        <v>4</v>
      </c>
      <c r="E20" s="18">
        <v>45735</v>
      </c>
      <c r="F20" s="19">
        <v>3</v>
      </c>
      <c r="G20" s="18">
        <v>46248</v>
      </c>
      <c r="H20" s="20">
        <v>2</v>
      </c>
      <c r="I20" s="21">
        <v>2964149.8099999954</v>
      </c>
      <c r="J20" s="21">
        <v>8986</v>
      </c>
      <c r="K20" s="21">
        <v>8133</v>
      </c>
      <c r="L20" s="21">
        <v>3359507.6</v>
      </c>
      <c r="M20" s="21">
        <v>6000000</v>
      </c>
      <c r="N20" s="22">
        <f t="shared" si="0"/>
        <v>1.1333798273846372</v>
      </c>
      <c r="O20" s="22">
        <f t="shared" si="1"/>
        <v>0.81330000000000002</v>
      </c>
    </row>
    <row r="21" spans="1:15" x14ac:dyDescent="0.3">
      <c r="B21" s="16" t="s">
        <v>52</v>
      </c>
      <c r="C21" s="17" t="s">
        <v>10</v>
      </c>
      <c r="D21" s="17" t="s">
        <v>4</v>
      </c>
      <c r="E21" s="18">
        <v>45728</v>
      </c>
      <c r="F21" s="19">
        <v>3</v>
      </c>
      <c r="H21" s="20">
        <v>1</v>
      </c>
      <c r="I21" s="21">
        <v>2417917.3900000015</v>
      </c>
      <c r="J21" s="21">
        <v>7494</v>
      </c>
      <c r="K21" s="21">
        <v>6941</v>
      </c>
      <c r="L21" s="21">
        <v>2736669.6399999997</v>
      </c>
      <c r="M21" s="21">
        <v>7423341.2999999998</v>
      </c>
      <c r="N21" s="22">
        <f t="shared" si="0"/>
        <v>1.1318292557546799</v>
      </c>
      <c r="O21" s="22">
        <f t="shared" si="1"/>
        <v>1.3882000000000001</v>
      </c>
    </row>
    <row r="22" spans="1:15" x14ac:dyDescent="0.3">
      <c r="A22" s="1" t="s">
        <v>162</v>
      </c>
      <c r="B22" s="16" t="s">
        <v>441</v>
      </c>
      <c r="C22" s="17" t="s">
        <v>10</v>
      </c>
      <c r="D22" s="17" t="s">
        <v>18</v>
      </c>
      <c r="E22" s="18">
        <v>46092</v>
      </c>
      <c r="F22" s="19" t="s">
        <v>435</v>
      </c>
      <c r="H22" s="20">
        <v>1</v>
      </c>
      <c r="I22" s="21">
        <v>202222.49</v>
      </c>
      <c r="J22" s="21">
        <v>631</v>
      </c>
      <c r="K22" s="21">
        <v>631</v>
      </c>
      <c r="L22" s="21">
        <v>286706.39</v>
      </c>
      <c r="M22" s="21">
        <v>10400000</v>
      </c>
      <c r="N22" s="22">
        <f t="shared" si="0"/>
        <v>1.4177769742623585</v>
      </c>
      <c r="O22" s="22">
        <f t="shared" si="1"/>
        <v>4.2066666666666669E-2</v>
      </c>
    </row>
    <row r="23" spans="1:15" x14ac:dyDescent="0.3">
      <c r="A23" s="1" t="s">
        <v>120</v>
      </c>
      <c r="B23" s="16" t="s">
        <v>66</v>
      </c>
      <c r="C23" s="17" t="s">
        <v>10</v>
      </c>
      <c r="D23" s="17" t="s">
        <v>4</v>
      </c>
      <c r="E23" s="18">
        <v>45726</v>
      </c>
      <c r="F23" s="19">
        <v>3</v>
      </c>
      <c r="G23" s="18">
        <v>46290</v>
      </c>
      <c r="H23" s="20">
        <v>2</v>
      </c>
      <c r="I23" s="21">
        <v>3765133.7499999949</v>
      </c>
      <c r="J23" s="21">
        <v>10139</v>
      </c>
      <c r="K23" s="21">
        <v>9366</v>
      </c>
      <c r="L23" s="21">
        <v>4005162.76</v>
      </c>
      <c r="M23" s="21">
        <v>6000000</v>
      </c>
      <c r="N23" s="22">
        <f t="shared" si="0"/>
        <v>1.0637504603920127</v>
      </c>
      <c r="O23" s="22">
        <f t="shared" si="1"/>
        <v>0.93659999999999999</v>
      </c>
    </row>
    <row r="24" spans="1:15" x14ac:dyDescent="0.3">
      <c r="A24" s="1" t="s">
        <v>368</v>
      </c>
      <c r="B24" s="16" t="s">
        <v>283</v>
      </c>
      <c r="C24" s="17" t="s">
        <v>10</v>
      </c>
      <c r="D24" s="17" t="s">
        <v>4</v>
      </c>
      <c r="E24" s="18">
        <v>45799</v>
      </c>
      <c r="F24" s="19">
        <v>5</v>
      </c>
      <c r="H24" s="20">
        <v>1</v>
      </c>
      <c r="I24" s="21">
        <v>760986.66000000609</v>
      </c>
      <c r="J24" s="21">
        <v>2399</v>
      </c>
      <c r="K24" s="21">
        <v>2100</v>
      </c>
      <c r="L24" s="21">
        <v>801164</v>
      </c>
      <c r="M24" s="21">
        <v>3000000</v>
      </c>
      <c r="N24" s="22">
        <f t="shared" si="0"/>
        <v>1.0527963788484722</v>
      </c>
      <c r="O24" s="22">
        <f t="shared" si="1"/>
        <v>0.42</v>
      </c>
    </row>
    <row r="25" spans="1:15" x14ac:dyDescent="0.3">
      <c r="A25" s="1" t="s">
        <v>355</v>
      </c>
      <c r="B25" s="16" t="s">
        <v>159</v>
      </c>
      <c r="C25" s="17" t="s">
        <v>10</v>
      </c>
      <c r="D25" s="17" t="s">
        <v>4</v>
      </c>
      <c r="E25" s="18">
        <v>45770</v>
      </c>
      <c r="F25" s="19">
        <v>4</v>
      </c>
      <c r="G25" s="18">
        <v>46499</v>
      </c>
      <c r="H25" s="20">
        <v>2</v>
      </c>
      <c r="I25" s="21">
        <v>5310012.9100000076</v>
      </c>
      <c r="J25" s="21">
        <v>17204</v>
      </c>
      <c r="K25" s="21">
        <v>15358</v>
      </c>
      <c r="L25" s="21">
        <v>6000000</v>
      </c>
      <c r="M25" s="21">
        <v>6000000</v>
      </c>
      <c r="N25" s="22">
        <f t="shared" si="0"/>
        <v>1.1299407556430954</v>
      </c>
      <c r="O25" s="22">
        <f t="shared" si="1"/>
        <v>1.5358000000000001</v>
      </c>
    </row>
    <row r="26" spans="1:15" x14ac:dyDescent="0.3">
      <c r="A26" s="1" t="s">
        <v>33</v>
      </c>
      <c r="B26" s="16" t="s">
        <v>529</v>
      </c>
      <c r="C26" s="17" t="s">
        <v>10</v>
      </c>
      <c r="D26" s="17" t="s">
        <v>11</v>
      </c>
      <c r="E26" s="18">
        <v>46140</v>
      </c>
      <c r="F26" s="19" t="s">
        <v>530</v>
      </c>
      <c r="H26" s="20">
        <v>1</v>
      </c>
      <c r="I26" s="21">
        <v>1578676.34</v>
      </c>
      <c r="J26" s="21">
        <v>3085</v>
      </c>
      <c r="K26" s="21">
        <v>3085</v>
      </c>
      <c r="L26" s="21">
        <v>740000</v>
      </c>
      <c r="M26" s="21">
        <v>9000000</v>
      </c>
      <c r="N26" s="22">
        <f t="shared" si="0"/>
        <v>0.46874712773613875</v>
      </c>
      <c r="O26" s="22">
        <f t="shared" si="1"/>
        <v>0.1234</v>
      </c>
    </row>
    <row r="27" spans="1:15" x14ac:dyDescent="0.3">
      <c r="B27" s="16" t="s">
        <v>397</v>
      </c>
      <c r="C27" s="17" t="s">
        <v>10</v>
      </c>
      <c r="D27" s="17" t="s">
        <v>4</v>
      </c>
      <c r="E27" s="18">
        <v>45877</v>
      </c>
      <c r="F27" s="19">
        <v>8</v>
      </c>
      <c r="H27" s="20">
        <v>1</v>
      </c>
      <c r="I27" s="21">
        <v>1772181.4600000007</v>
      </c>
      <c r="J27" s="21">
        <v>5915</v>
      </c>
      <c r="K27" s="21">
        <v>5394</v>
      </c>
      <c r="L27" s="21">
        <v>2003029</v>
      </c>
      <c r="M27" s="21">
        <v>3000000</v>
      </c>
      <c r="N27" s="22">
        <f t="shared" si="0"/>
        <v>1.1302617961029788</v>
      </c>
      <c r="O27" s="22">
        <f t="shared" si="1"/>
        <v>1.0788</v>
      </c>
    </row>
    <row r="28" spans="1:15" x14ac:dyDescent="0.3">
      <c r="A28" s="1" t="s">
        <v>311</v>
      </c>
      <c r="B28" s="16" t="s">
        <v>50</v>
      </c>
      <c r="C28" s="17" t="s">
        <v>10</v>
      </c>
      <c r="D28" s="17" t="s">
        <v>4</v>
      </c>
      <c r="E28" s="18">
        <v>45741</v>
      </c>
      <c r="F28" s="19">
        <v>3</v>
      </c>
      <c r="H28" s="20">
        <v>1</v>
      </c>
      <c r="I28" s="21">
        <v>2608094.6399999908</v>
      </c>
      <c r="J28" s="21">
        <v>8298</v>
      </c>
      <c r="K28" s="21">
        <v>7411</v>
      </c>
      <c r="L28" s="21">
        <v>2947145.8299999996</v>
      </c>
      <c r="M28" s="21">
        <v>3000000</v>
      </c>
      <c r="N28" s="22">
        <f t="shared" si="0"/>
        <v>1.1299995731750019</v>
      </c>
      <c r="O28" s="22">
        <f t="shared" si="1"/>
        <v>1.4822</v>
      </c>
    </row>
    <row r="29" spans="1:15" x14ac:dyDescent="0.3">
      <c r="A29" s="1" t="s">
        <v>76</v>
      </c>
      <c r="B29" s="16" t="s">
        <v>169</v>
      </c>
      <c r="C29" s="17" t="s">
        <v>10</v>
      </c>
      <c r="D29" s="17" t="s">
        <v>4</v>
      </c>
      <c r="E29" s="18">
        <v>45765</v>
      </c>
      <c r="F29" s="19">
        <v>4</v>
      </c>
      <c r="H29" s="20">
        <v>1</v>
      </c>
      <c r="I29" s="21">
        <v>2497843.0699999984</v>
      </c>
      <c r="J29" s="21">
        <v>7621</v>
      </c>
      <c r="K29" s="21">
        <v>6872</v>
      </c>
      <c r="L29" s="21">
        <v>2822562.0700000003</v>
      </c>
      <c r="M29" s="21">
        <v>3000000</v>
      </c>
      <c r="N29" s="22">
        <f t="shared" si="0"/>
        <v>1.1299997601530676</v>
      </c>
      <c r="O29" s="22">
        <f t="shared" si="1"/>
        <v>1.3744000000000001</v>
      </c>
    </row>
    <row r="30" spans="1:15" x14ac:dyDescent="0.3">
      <c r="A30" s="1" t="s">
        <v>51</v>
      </c>
      <c r="B30" s="16" t="s">
        <v>531</v>
      </c>
      <c r="C30" s="17" t="s">
        <v>10</v>
      </c>
      <c r="D30" s="17" t="s">
        <v>11</v>
      </c>
      <c r="E30" s="18">
        <v>46140</v>
      </c>
      <c r="F30" s="19" t="s">
        <v>530</v>
      </c>
      <c r="H30" s="20">
        <v>1</v>
      </c>
      <c r="I30" s="21">
        <v>300814.15000000002</v>
      </c>
      <c r="J30" s="21">
        <v>1000</v>
      </c>
      <c r="K30" s="21">
        <v>1000</v>
      </c>
      <c r="L30" s="21">
        <v>0</v>
      </c>
      <c r="M30" s="21">
        <v>9000000</v>
      </c>
      <c r="N30" s="22">
        <f t="shared" si="0"/>
        <v>0</v>
      </c>
      <c r="O30" s="22">
        <f t="shared" si="1"/>
        <v>0.04</v>
      </c>
    </row>
    <row r="31" spans="1:15" x14ac:dyDescent="0.3">
      <c r="B31" s="16" t="s">
        <v>198</v>
      </c>
      <c r="C31" s="17" t="s">
        <v>10</v>
      </c>
      <c r="D31" s="17" t="s">
        <v>4</v>
      </c>
      <c r="E31" s="18">
        <v>45775</v>
      </c>
      <c r="F31" s="19">
        <v>4</v>
      </c>
      <c r="H31" s="20">
        <v>1</v>
      </c>
      <c r="I31" s="21">
        <v>1506048.1500000001</v>
      </c>
      <c r="J31" s="21">
        <v>4817</v>
      </c>
      <c r="K31" s="21">
        <v>4361</v>
      </c>
      <c r="L31" s="21">
        <v>1700766.34</v>
      </c>
      <c r="M31" s="21">
        <v>3000000</v>
      </c>
      <c r="N31" s="22">
        <f t="shared" si="0"/>
        <v>1.1292908131788482</v>
      </c>
      <c r="O31" s="22">
        <f t="shared" si="1"/>
        <v>0.87219999999999998</v>
      </c>
    </row>
    <row r="32" spans="1:15" x14ac:dyDescent="0.3">
      <c r="A32" s="1" t="s">
        <v>65</v>
      </c>
      <c r="B32" s="16" t="s">
        <v>352</v>
      </c>
      <c r="C32" s="17" t="s">
        <v>10</v>
      </c>
      <c r="D32" s="17" t="s">
        <v>4</v>
      </c>
      <c r="E32" s="18">
        <v>45828</v>
      </c>
      <c r="F32" s="19">
        <v>6</v>
      </c>
      <c r="H32" s="20">
        <v>1</v>
      </c>
      <c r="I32" s="21">
        <v>183518.04000000004</v>
      </c>
      <c r="J32" s="21">
        <v>514</v>
      </c>
      <c r="K32" s="21">
        <v>493</v>
      </c>
      <c r="L32" s="21">
        <v>207259.62</v>
      </c>
      <c r="M32" s="21">
        <v>3000000</v>
      </c>
      <c r="N32" s="22">
        <f t="shared" si="0"/>
        <v>1.1293691889909023</v>
      </c>
      <c r="O32" s="22">
        <f t="shared" si="1"/>
        <v>9.8599999999999993E-2</v>
      </c>
    </row>
    <row r="33" spans="1:15" x14ac:dyDescent="0.3">
      <c r="B33" s="16" t="s">
        <v>149</v>
      </c>
      <c r="C33" s="17" t="s">
        <v>10</v>
      </c>
      <c r="D33" s="17" t="s">
        <v>4</v>
      </c>
      <c r="E33" s="18">
        <v>45747</v>
      </c>
      <c r="F33" s="19">
        <v>3</v>
      </c>
      <c r="H33" s="20">
        <v>1</v>
      </c>
      <c r="I33" s="21">
        <v>134999.99999999997</v>
      </c>
      <c r="J33" s="21">
        <v>408</v>
      </c>
      <c r="K33" s="21">
        <v>407</v>
      </c>
      <c r="L33" s="21">
        <v>123340.65000000001</v>
      </c>
      <c r="M33" s="21">
        <v>3000000</v>
      </c>
      <c r="N33" s="22">
        <f t="shared" si="0"/>
        <v>0.91363444444444475</v>
      </c>
      <c r="O33" s="22">
        <f t="shared" si="1"/>
        <v>8.14E-2</v>
      </c>
    </row>
    <row r="34" spans="1:15" x14ac:dyDescent="0.3">
      <c r="A34" s="1" t="s">
        <v>388</v>
      </c>
      <c r="B34" s="16" t="s">
        <v>405</v>
      </c>
      <c r="C34" s="17" t="s">
        <v>10</v>
      </c>
      <c r="D34" s="17" t="s">
        <v>4</v>
      </c>
      <c r="E34" s="18">
        <v>45891</v>
      </c>
      <c r="F34" s="19">
        <v>8</v>
      </c>
      <c r="H34" s="20">
        <v>1</v>
      </c>
      <c r="I34" s="21">
        <v>245653.07000000024</v>
      </c>
      <c r="J34" s="21">
        <v>689</v>
      </c>
      <c r="K34" s="21">
        <v>686</v>
      </c>
      <c r="L34" s="21">
        <v>262582.58999999997</v>
      </c>
      <c r="M34" s="21">
        <v>3000000</v>
      </c>
      <c r="N34" s="22">
        <f t="shared" si="0"/>
        <v>1.0689163786961819</v>
      </c>
      <c r="O34" s="22">
        <f t="shared" si="1"/>
        <v>0.13719999999999999</v>
      </c>
    </row>
    <row r="35" spans="1:15" x14ac:dyDescent="0.3">
      <c r="A35" s="1" t="s">
        <v>247</v>
      </c>
      <c r="B35" s="16" t="s">
        <v>210</v>
      </c>
      <c r="C35" s="17" t="s">
        <v>10</v>
      </c>
      <c r="D35" s="17" t="s">
        <v>4</v>
      </c>
      <c r="E35" s="18">
        <v>45748</v>
      </c>
      <c r="F35" s="19">
        <v>4</v>
      </c>
      <c r="H35" s="20">
        <v>1</v>
      </c>
      <c r="I35" s="21">
        <v>1683870.6599999981</v>
      </c>
      <c r="J35" s="21">
        <v>4635</v>
      </c>
      <c r="K35" s="21">
        <v>4306</v>
      </c>
      <c r="L35" s="21">
        <v>1275912.0499999998</v>
      </c>
      <c r="M35" s="21">
        <v>3000000</v>
      </c>
      <c r="N35" s="22">
        <f t="shared" si="0"/>
        <v>0.75772568541576779</v>
      </c>
      <c r="O35" s="22">
        <f t="shared" si="1"/>
        <v>0.86119999999999997</v>
      </c>
    </row>
    <row r="36" spans="1:15" x14ac:dyDescent="0.3">
      <c r="B36" s="16" t="s">
        <v>358</v>
      </c>
      <c r="C36" s="17" t="s">
        <v>10</v>
      </c>
      <c r="D36" s="17" t="s">
        <v>4</v>
      </c>
      <c r="E36" s="18">
        <v>45814</v>
      </c>
      <c r="F36" s="19">
        <v>6</v>
      </c>
      <c r="H36" s="20">
        <v>1</v>
      </c>
      <c r="I36" s="21">
        <v>32477.919999999998</v>
      </c>
      <c r="J36" s="21">
        <v>94</v>
      </c>
      <c r="K36" s="21">
        <v>94</v>
      </c>
      <c r="L36" s="21">
        <v>36705.86</v>
      </c>
      <c r="M36" s="21">
        <v>3000000</v>
      </c>
      <c r="N36" s="22">
        <f t="shared" si="0"/>
        <v>1.1301789030824634</v>
      </c>
      <c r="O36" s="22">
        <f t="shared" si="1"/>
        <v>1.8800000000000001E-2</v>
      </c>
    </row>
    <row r="37" spans="1:15" x14ac:dyDescent="0.3">
      <c r="A37" s="1" t="s">
        <v>97</v>
      </c>
      <c r="B37" s="16" t="s">
        <v>146</v>
      </c>
      <c r="C37" s="17" t="s">
        <v>10</v>
      </c>
      <c r="D37" s="17" t="s">
        <v>4</v>
      </c>
      <c r="E37" s="18">
        <v>45729</v>
      </c>
      <c r="F37" s="19">
        <v>3</v>
      </c>
      <c r="H37" s="20">
        <v>1</v>
      </c>
      <c r="I37" s="21">
        <v>435437.88000000024</v>
      </c>
      <c r="J37" s="21">
        <v>1122</v>
      </c>
      <c r="K37" s="21">
        <v>1122</v>
      </c>
      <c r="L37" s="21">
        <v>496303.76000000007</v>
      </c>
      <c r="M37" s="21">
        <v>3000000</v>
      </c>
      <c r="N37" s="22">
        <f t="shared" si="0"/>
        <v>1.1397808569158012</v>
      </c>
      <c r="O37" s="22">
        <f t="shared" si="1"/>
        <v>0.22439999999999999</v>
      </c>
    </row>
    <row r="38" spans="1:15" x14ac:dyDescent="0.3">
      <c r="A38" s="1" t="s">
        <v>95</v>
      </c>
      <c r="B38" s="16" t="s">
        <v>230</v>
      </c>
      <c r="C38" s="17" t="s">
        <v>10</v>
      </c>
      <c r="D38" s="17" t="s">
        <v>4</v>
      </c>
      <c r="E38" s="18">
        <v>45748</v>
      </c>
      <c r="F38" s="19">
        <v>4</v>
      </c>
      <c r="H38" s="20">
        <v>1</v>
      </c>
      <c r="I38" s="21">
        <v>227325.6800000004</v>
      </c>
      <c r="J38" s="21">
        <v>619</v>
      </c>
      <c r="K38" s="21">
        <v>619</v>
      </c>
      <c r="L38" s="21">
        <v>256880.82</v>
      </c>
      <c r="M38" s="21">
        <v>3000000</v>
      </c>
      <c r="N38" s="22">
        <f t="shared" si="0"/>
        <v>1.1300123241685653</v>
      </c>
      <c r="O38" s="22">
        <f t="shared" si="1"/>
        <v>0.12379999999999999</v>
      </c>
    </row>
    <row r="39" spans="1:15" x14ac:dyDescent="0.3">
      <c r="A39" s="1" t="s">
        <v>261</v>
      </c>
      <c r="B39" s="16" t="s">
        <v>244</v>
      </c>
      <c r="C39" s="17" t="s">
        <v>10</v>
      </c>
      <c r="D39" s="17" t="s">
        <v>4</v>
      </c>
      <c r="E39" s="18">
        <v>45806</v>
      </c>
      <c r="F39" s="19">
        <v>5</v>
      </c>
      <c r="H39" s="20">
        <v>1</v>
      </c>
      <c r="I39" s="21">
        <v>2047827.3600000057</v>
      </c>
      <c r="J39" s="21">
        <v>6543</v>
      </c>
      <c r="K39" s="21">
        <v>5992</v>
      </c>
      <c r="L39" s="21">
        <v>2314044.63</v>
      </c>
      <c r="M39" s="21">
        <v>3000000</v>
      </c>
      <c r="N39" s="22">
        <f t="shared" si="0"/>
        <v>1.1299998599491285</v>
      </c>
      <c r="O39" s="22">
        <f t="shared" si="1"/>
        <v>1.1983999999999999</v>
      </c>
    </row>
    <row r="40" spans="1:15" x14ac:dyDescent="0.3">
      <c r="B40" s="16" t="s">
        <v>456</v>
      </c>
      <c r="C40" s="17" t="s">
        <v>10</v>
      </c>
      <c r="D40" s="17" t="s">
        <v>11</v>
      </c>
      <c r="E40" s="18">
        <v>46120</v>
      </c>
      <c r="F40" s="19" t="s">
        <v>530</v>
      </c>
      <c r="H40" s="20">
        <v>1</v>
      </c>
      <c r="I40" s="21">
        <v>1092104.0199999986</v>
      </c>
      <c r="J40" s="21">
        <v>3307</v>
      </c>
      <c r="K40" s="21">
        <v>3209</v>
      </c>
      <c r="L40" s="21">
        <v>100000</v>
      </c>
      <c r="M40" s="21">
        <v>9250000</v>
      </c>
      <c r="N40" s="22">
        <f t="shared" si="0"/>
        <v>9.1566369291452773E-2</v>
      </c>
      <c r="O40" s="22">
        <f t="shared" si="1"/>
        <v>0.12836</v>
      </c>
    </row>
    <row r="41" spans="1:15" x14ac:dyDescent="0.3">
      <c r="B41" s="16" t="s">
        <v>299</v>
      </c>
      <c r="C41" s="17" t="s">
        <v>10</v>
      </c>
      <c r="D41" s="17" t="s">
        <v>4</v>
      </c>
      <c r="E41" s="18">
        <v>45791</v>
      </c>
      <c r="F41" s="19">
        <v>5</v>
      </c>
      <c r="H41" s="20">
        <v>1</v>
      </c>
      <c r="I41" s="21">
        <v>396477.49999999965</v>
      </c>
      <c r="J41" s="21">
        <v>1196</v>
      </c>
      <c r="K41" s="21">
        <v>1190</v>
      </c>
      <c r="L41" s="21">
        <v>443331.65999999992</v>
      </c>
      <c r="M41" s="21">
        <v>3000000</v>
      </c>
      <c r="N41" s="22">
        <f t="shared" si="0"/>
        <v>1.118176088176505</v>
      </c>
      <c r="O41" s="22">
        <f t="shared" si="1"/>
        <v>0.23799999999999999</v>
      </c>
    </row>
    <row r="42" spans="1:15" x14ac:dyDescent="0.3">
      <c r="A42" s="1" t="s">
        <v>300</v>
      </c>
      <c r="B42" s="16" t="s">
        <v>161</v>
      </c>
      <c r="C42" s="17" t="s">
        <v>10</v>
      </c>
      <c r="D42" s="17" t="s">
        <v>4</v>
      </c>
      <c r="E42" s="18">
        <v>45769</v>
      </c>
      <c r="F42" s="19">
        <v>4</v>
      </c>
      <c r="G42" s="18">
        <v>46505</v>
      </c>
      <c r="H42" s="20">
        <v>2</v>
      </c>
      <c r="I42" s="21">
        <v>2739028.1999999979</v>
      </c>
      <c r="J42" s="21">
        <v>8525</v>
      </c>
      <c r="K42" s="21">
        <v>7613</v>
      </c>
      <c r="L42" s="21">
        <v>3035932.6</v>
      </c>
      <c r="M42" s="21">
        <v>4000000</v>
      </c>
      <c r="N42" s="22">
        <f t="shared" si="0"/>
        <v>1.1083977156569627</v>
      </c>
      <c r="O42" s="22">
        <f t="shared" si="1"/>
        <v>0.76129999999999998</v>
      </c>
    </row>
    <row r="43" spans="1:15" x14ac:dyDescent="0.3">
      <c r="A43" s="1" t="s">
        <v>193</v>
      </c>
      <c r="B43" s="16" t="s">
        <v>307</v>
      </c>
      <c r="C43" s="17" t="s">
        <v>10</v>
      </c>
      <c r="D43" s="17" t="s">
        <v>4</v>
      </c>
      <c r="E43" s="18">
        <v>45784</v>
      </c>
      <c r="F43" s="19">
        <v>5</v>
      </c>
      <c r="H43" s="20">
        <v>1</v>
      </c>
      <c r="I43" s="21">
        <v>242304.62999999995</v>
      </c>
      <c r="J43" s="21">
        <v>674</v>
      </c>
      <c r="K43" s="21">
        <v>674</v>
      </c>
      <c r="L43" s="21">
        <v>232752.05</v>
      </c>
      <c r="M43" s="21">
        <v>3000000</v>
      </c>
      <c r="N43" s="22">
        <f t="shared" si="0"/>
        <v>0.96057615572595556</v>
      </c>
      <c r="O43" s="22">
        <f t="shared" si="1"/>
        <v>0.1348</v>
      </c>
    </row>
    <row r="44" spans="1:15" x14ac:dyDescent="0.3">
      <c r="A44" s="1" t="s">
        <v>292</v>
      </c>
      <c r="B44" s="16" t="s">
        <v>279</v>
      </c>
      <c r="C44" s="17" t="s">
        <v>10</v>
      </c>
      <c r="D44" s="17" t="s">
        <v>4</v>
      </c>
      <c r="E44" s="18">
        <v>45797</v>
      </c>
      <c r="F44" s="19">
        <v>5</v>
      </c>
      <c r="H44" s="20">
        <v>1</v>
      </c>
      <c r="I44" s="21">
        <v>759292.76000000024</v>
      </c>
      <c r="J44" s="21">
        <v>2450</v>
      </c>
      <c r="K44" s="21">
        <v>2228</v>
      </c>
      <c r="L44" s="21">
        <v>866508.71</v>
      </c>
      <c r="M44" s="21">
        <v>3496939.38</v>
      </c>
      <c r="N44" s="22">
        <f t="shared" si="0"/>
        <v>1.1412050208407094</v>
      </c>
      <c r="O44" s="22">
        <f t="shared" si="1"/>
        <v>0.4456</v>
      </c>
    </row>
    <row r="45" spans="1:15" x14ac:dyDescent="0.3">
      <c r="A45" s="1" t="s">
        <v>110</v>
      </c>
      <c r="B45" s="16" t="s">
        <v>9</v>
      </c>
      <c r="C45" s="17" t="s">
        <v>10</v>
      </c>
      <c r="D45" s="17" t="s">
        <v>11</v>
      </c>
      <c r="E45" s="18">
        <v>45712</v>
      </c>
      <c r="F45" s="19">
        <v>2</v>
      </c>
      <c r="G45" s="18">
        <v>46445</v>
      </c>
      <c r="H45" s="20">
        <v>2</v>
      </c>
      <c r="I45" s="21">
        <v>24274547.130000044</v>
      </c>
      <c r="J45" s="21">
        <v>81759</v>
      </c>
      <c r="K45" s="21">
        <v>68224</v>
      </c>
      <c r="L45" s="21">
        <v>25872256.070000004</v>
      </c>
      <c r="M45" s="21">
        <v>33080000</v>
      </c>
      <c r="N45" s="22">
        <f t="shared" si="0"/>
        <v>1.0658182800051257</v>
      </c>
      <c r="O45" s="22">
        <f t="shared" si="1"/>
        <v>1.3644799999999999</v>
      </c>
    </row>
    <row r="46" spans="1:15" x14ac:dyDescent="0.3">
      <c r="A46" s="1" t="s">
        <v>282</v>
      </c>
      <c r="B46" s="16" t="s">
        <v>117</v>
      </c>
      <c r="C46" s="17" t="s">
        <v>10</v>
      </c>
      <c r="D46" s="17" t="s">
        <v>11</v>
      </c>
      <c r="E46" s="18">
        <v>45719</v>
      </c>
      <c r="F46" s="19">
        <v>3</v>
      </c>
      <c r="G46" s="18">
        <v>46308</v>
      </c>
      <c r="H46" s="20">
        <v>2</v>
      </c>
      <c r="I46" s="21">
        <v>10581928.649999982</v>
      </c>
      <c r="J46" s="21">
        <v>33065</v>
      </c>
      <c r="K46" s="21">
        <v>28646</v>
      </c>
      <c r="L46" s="21">
        <v>11395375.809999999</v>
      </c>
      <c r="M46" s="21">
        <v>18250000</v>
      </c>
      <c r="N46" s="22">
        <f t="shared" si="0"/>
        <v>1.0768713518022084</v>
      </c>
      <c r="O46" s="22">
        <f t="shared" si="1"/>
        <v>0.57291999999999998</v>
      </c>
    </row>
    <row r="47" spans="1:15" x14ac:dyDescent="0.3">
      <c r="A47" s="1" t="s">
        <v>225</v>
      </c>
      <c r="B47" s="16" t="s">
        <v>301</v>
      </c>
      <c r="C47" s="17" t="s">
        <v>142</v>
      </c>
      <c r="D47" s="17" t="s">
        <v>4</v>
      </c>
      <c r="E47" s="18">
        <v>45792</v>
      </c>
      <c r="F47" s="19">
        <v>5</v>
      </c>
      <c r="H47" s="20">
        <v>1</v>
      </c>
      <c r="I47" s="21">
        <v>444069.13999999978</v>
      </c>
      <c r="J47" s="21">
        <v>1165</v>
      </c>
      <c r="K47" s="21">
        <v>1165</v>
      </c>
      <c r="L47" s="21">
        <v>349857.98</v>
      </c>
      <c r="M47" s="21">
        <v>2100000</v>
      </c>
      <c r="N47" s="22">
        <f t="shared" si="0"/>
        <v>0.78784573951704939</v>
      </c>
      <c r="O47" s="22">
        <f t="shared" si="1"/>
        <v>0.23300000000000001</v>
      </c>
    </row>
    <row r="48" spans="1:15" x14ac:dyDescent="0.3">
      <c r="A48" s="1" t="s">
        <v>187</v>
      </c>
      <c r="B48" s="16" t="s">
        <v>194</v>
      </c>
      <c r="C48" s="17" t="s">
        <v>142</v>
      </c>
      <c r="D48" s="17" t="s">
        <v>18</v>
      </c>
      <c r="E48" s="18">
        <v>45749</v>
      </c>
      <c r="F48" s="19">
        <v>4</v>
      </c>
      <c r="H48" s="20">
        <v>1</v>
      </c>
      <c r="I48" s="21">
        <v>5743233.5500000119</v>
      </c>
      <c r="J48" s="21">
        <v>16260</v>
      </c>
      <c r="K48" s="21">
        <v>14658</v>
      </c>
      <c r="L48" s="21">
        <v>6180819.5499999998</v>
      </c>
      <c r="M48" s="21">
        <v>7500000</v>
      </c>
      <c r="N48" s="22">
        <f t="shared" si="0"/>
        <v>1.0761915732993284</v>
      </c>
      <c r="O48" s="22">
        <f t="shared" si="1"/>
        <v>0.97719999999999996</v>
      </c>
    </row>
    <row r="49" spans="1:15" x14ac:dyDescent="0.3">
      <c r="A49" s="1" t="s">
        <v>164</v>
      </c>
      <c r="B49" s="16" t="s">
        <v>293</v>
      </c>
      <c r="C49" s="17" t="s">
        <v>142</v>
      </c>
      <c r="D49" s="17" t="s">
        <v>4</v>
      </c>
      <c r="E49" s="18">
        <v>45790</v>
      </c>
      <c r="F49" s="19">
        <v>5</v>
      </c>
      <c r="H49" s="20">
        <v>1</v>
      </c>
      <c r="I49" s="21">
        <v>516884.52000000066</v>
      </c>
      <c r="J49" s="21">
        <v>1389</v>
      </c>
      <c r="K49" s="21">
        <v>1389</v>
      </c>
      <c r="L49" s="21">
        <v>568394.51</v>
      </c>
      <c r="M49" s="21">
        <v>3000000</v>
      </c>
      <c r="N49" s="22">
        <f t="shared" si="0"/>
        <v>1.099654735258853</v>
      </c>
      <c r="O49" s="22">
        <f t="shared" si="1"/>
        <v>0.27779999999999999</v>
      </c>
    </row>
    <row r="50" spans="1:15" x14ac:dyDescent="0.3">
      <c r="A50" s="1" t="s">
        <v>158</v>
      </c>
      <c r="B50" s="16" t="s">
        <v>281</v>
      </c>
      <c r="C50" s="17" t="s">
        <v>142</v>
      </c>
      <c r="D50" s="17" t="s">
        <v>4</v>
      </c>
      <c r="E50" s="18">
        <v>45804</v>
      </c>
      <c r="F50" s="19">
        <v>5</v>
      </c>
      <c r="H50" s="20">
        <v>1</v>
      </c>
      <c r="I50" s="21">
        <v>768423.66999999795</v>
      </c>
      <c r="J50" s="21">
        <v>2219</v>
      </c>
      <c r="K50" s="21">
        <v>2155</v>
      </c>
      <c r="L50" s="21">
        <v>759779.99000000022</v>
      </c>
      <c r="M50" s="21">
        <v>3000000</v>
      </c>
      <c r="N50" s="22">
        <f t="shared" si="0"/>
        <v>0.98875141365700281</v>
      </c>
      <c r="O50" s="22">
        <f t="shared" si="1"/>
        <v>0.43099999999999999</v>
      </c>
    </row>
    <row r="51" spans="1:15" x14ac:dyDescent="0.3">
      <c r="A51" s="1" t="s">
        <v>55</v>
      </c>
      <c r="B51" s="16" t="s">
        <v>246</v>
      </c>
      <c r="C51" s="17" t="s">
        <v>142</v>
      </c>
      <c r="D51" s="17" t="s">
        <v>11</v>
      </c>
      <c r="E51" s="18">
        <v>45807</v>
      </c>
      <c r="F51" s="19">
        <v>5</v>
      </c>
      <c r="G51" s="18">
        <v>46399</v>
      </c>
      <c r="H51" s="20">
        <v>3</v>
      </c>
      <c r="I51" s="21">
        <v>25611581.459999692</v>
      </c>
      <c r="J51" s="21">
        <v>94181</v>
      </c>
      <c r="K51" s="21">
        <v>75756</v>
      </c>
      <c r="L51" s="21">
        <v>28941108.420000002</v>
      </c>
      <c r="M51" s="21">
        <v>30000000</v>
      </c>
      <c r="N51" s="22">
        <f t="shared" si="0"/>
        <v>1.1300008343959698</v>
      </c>
      <c r="O51" s="22">
        <f t="shared" si="1"/>
        <v>1.0100800000000001</v>
      </c>
    </row>
    <row r="52" spans="1:15" x14ac:dyDescent="0.3">
      <c r="A52" s="1" t="s">
        <v>394</v>
      </c>
      <c r="B52" s="16" t="s">
        <v>141</v>
      </c>
      <c r="C52" s="17" t="s">
        <v>142</v>
      </c>
      <c r="D52" s="17" t="s">
        <v>4</v>
      </c>
      <c r="E52" s="18">
        <v>45741</v>
      </c>
      <c r="F52" s="19">
        <v>3</v>
      </c>
      <c r="H52" s="20">
        <v>1</v>
      </c>
      <c r="I52" s="21">
        <v>523789.80000000063</v>
      </c>
      <c r="J52" s="21">
        <v>1465</v>
      </c>
      <c r="K52" s="21">
        <v>1464</v>
      </c>
      <c r="L52" s="21">
        <v>590355.98</v>
      </c>
      <c r="M52" s="21">
        <v>3700000</v>
      </c>
      <c r="N52" s="22">
        <f t="shared" si="0"/>
        <v>1.1270856744442126</v>
      </c>
      <c r="O52" s="22">
        <f t="shared" si="1"/>
        <v>0.2928</v>
      </c>
    </row>
    <row r="53" spans="1:15" x14ac:dyDescent="0.3">
      <c r="B53" s="16" t="s">
        <v>240</v>
      </c>
      <c r="C53" s="17" t="s">
        <v>142</v>
      </c>
      <c r="D53" s="17" t="s">
        <v>11</v>
      </c>
      <c r="E53" s="18">
        <v>45798</v>
      </c>
      <c r="F53" s="19">
        <v>5</v>
      </c>
      <c r="H53" s="20">
        <v>1</v>
      </c>
      <c r="I53" s="21">
        <v>12345549.820000015</v>
      </c>
      <c r="J53" s="21">
        <v>41531</v>
      </c>
      <c r="K53" s="21">
        <v>34304</v>
      </c>
      <c r="L53" s="21">
        <v>12977127.210000001</v>
      </c>
      <c r="M53" s="21">
        <v>19018000</v>
      </c>
      <c r="N53" s="22">
        <f t="shared" si="0"/>
        <v>1.0511583039401631</v>
      </c>
      <c r="O53" s="22">
        <f t="shared" si="1"/>
        <v>1.37216</v>
      </c>
    </row>
    <row r="54" spans="1:15" x14ac:dyDescent="0.3">
      <c r="A54" s="1" t="s">
        <v>132</v>
      </c>
      <c r="B54" s="16" t="s">
        <v>256</v>
      </c>
      <c r="C54" s="17" t="s">
        <v>142</v>
      </c>
      <c r="D54" s="17" t="s">
        <v>4</v>
      </c>
      <c r="E54" s="18">
        <v>45792</v>
      </c>
      <c r="F54" s="19">
        <v>5</v>
      </c>
      <c r="H54" s="20">
        <v>1</v>
      </c>
      <c r="I54" s="21">
        <v>1782270.3300000047</v>
      </c>
      <c r="J54" s="21">
        <v>5595</v>
      </c>
      <c r="K54" s="21">
        <v>5076</v>
      </c>
      <c r="L54" s="21">
        <v>1850000</v>
      </c>
      <c r="M54" s="21">
        <v>2012848.8</v>
      </c>
      <c r="N54" s="22">
        <f t="shared" si="0"/>
        <v>1.0380019062540278</v>
      </c>
      <c r="O54" s="22">
        <f t="shared" si="1"/>
        <v>1.0152000000000001</v>
      </c>
    </row>
    <row r="55" spans="1:15" x14ac:dyDescent="0.3">
      <c r="A55" s="1" t="s">
        <v>37</v>
      </c>
      <c r="B55" s="16" t="s">
        <v>436</v>
      </c>
      <c r="C55" s="17" t="s">
        <v>142</v>
      </c>
      <c r="D55" s="17" t="s">
        <v>11</v>
      </c>
      <c r="E55" s="18">
        <v>46092</v>
      </c>
      <c r="F55" s="19" t="s">
        <v>435</v>
      </c>
      <c r="H55" s="20">
        <v>1</v>
      </c>
      <c r="I55" s="21">
        <v>2002737.0499999966</v>
      </c>
      <c r="J55" s="21">
        <v>6456</v>
      </c>
      <c r="K55" s="21">
        <v>6456</v>
      </c>
      <c r="L55" s="21">
        <v>735129.24</v>
      </c>
      <c r="M55" s="21">
        <v>9250000</v>
      </c>
      <c r="N55" s="22">
        <f t="shared" si="0"/>
        <v>0.36706228608493624</v>
      </c>
      <c r="O55" s="22">
        <f t="shared" si="1"/>
        <v>0.25824000000000003</v>
      </c>
    </row>
    <row r="56" spans="1:15" x14ac:dyDescent="0.3">
      <c r="A56" s="1" t="s">
        <v>114</v>
      </c>
      <c r="B56" s="16" t="s">
        <v>324</v>
      </c>
      <c r="C56" s="17" t="s">
        <v>142</v>
      </c>
      <c r="D56" s="17" t="s">
        <v>4</v>
      </c>
      <c r="E56" s="18">
        <v>45833</v>
      </c>
      <c r="F56" s="19">
        <v>6</v>
      </c>
      <c r="H56" s="20">
        <v>1</v>
      </c>
      <c r="I56" s="21">
        <v>1640669.5500000003</v>
      </c>
      <c r="J56" s="21">
        <v>4138</v>
      </c>
      <c r="K56" s="21">
        <v>4138</v>
      </c>
      <c r="L56" s="21">
        <v>1477464.5100000002</v>
      </c>
      <c r="M56" s="21">
        <v>3300000</v>
      </c>
      <c r="N56" s="22">
        <f t="shared" si="0"/>
        <v>0.90052534344895963</v>
      </c>
      <c r="O56" s="22">
        <f t="shared" si="1"/>
        <v>0.8276</v>
      </c>
    </row>
    <row r="57" spans="1:15" x14ac:dyDescent="0.3">
      <c r="A57" s="1" t="s">
        <v>12</v>
      </c>
      <c r="B57" s="16" t="s">
        <v>391</v>
      </c>
      <c r="C57" s="17" t="s">
        <v>142</v>
      </c>
      <c r="D57" s="17" t="s">
        <v>4</v>
      </c>
      <c r="E57" s="18">
        <v>45852</v>
      </c>
      <c r="F57" s="19">
        <v>7</v>
      </c>
      <c r="H57" s="20">
        <v>1</v>
      </c>
      <c r="I57" s="21">
        <v>93141.400000000023</v>
      </c>
      <c r="J57" s="21">
        <v>260</v>
      </c>
      <c r="K57" s="21">
        <v>260</v>
      </c>
      <c r="L57" s="21">
        <v>92967.44</v>
      </c>
      <c r="M57" s="21">
        <v>1678960</v>
      </c>
      <c r="N57" s="22">
        <f t="shared" si="0"/>
        <v>0.99813230206975612</v>
      </c>
      <c r="O57" s="22">
        <f t="shared" si="1"/>
        <v>5.1999999999999998E-2</v>
      </c>
    </row>
    <row r="58" spans="1:15" x14ac:dyDescent="0.3">
      <c r="B58" s="16" t="s">
        <v>411</v>
      </c>
      <c r="C58" s="17" t="s">
        <v>142</v>
      </c>
      <c r="D58" s="17" t="s">
        <v>4</v>
      </c>
      <c r="E58" s="18">
        <v>45926</v>
      </c>
      <c r="F58" s="19">
        <v>9</v>
      </c>
      <c r="H58" s="20">
        <v>1</v>
      </c>
      <c r="I58" s="21">
        <v>748976.30999999982</v>
      </c>
      <c r="J58" s="21">
        <v>2003</v>
      </c>
      <c r="K58" s="21">
        <v>1984</v>
      </c>
      <c r="L58" s="21">
        <v>737485.34000000008</v>
      </c>
      <c r="M58" s="21">
        <v>3000000</v>
      </c>
      <c r="N58" s="22">
        <f t="shared" si="0"/>
        <v>0.98465776574428665</v>
      </c>
      <c r="O58" s="22">
        <f t="shared" si="1"/>
        <v>0.39679999999999999</v>
      </c>
    </row>
    <row r="59" spans="1:15" x14ac:dyDescent="0.3">
      <c r="A59" s="1" t="s">
        <v>86</v>
      </c>
      <c r="B59" s="16" t="s">
        <v>238</v>
      </c>
      <c r="C59" s="17" t="s">
        <v>142</v>
      </c>
      <c r="D59" s="17" t="s">
        <v>4</v>
      </c>
      <c r="E59" s="18">
        <v>45763</v>
      </c>
      <c r="F59" s="19">
        <v>4</v>
      </c>
      <c r="H59" s="20">
        <v>1</v>
      </c>
      <c r="I59" s="21">
        <v>17468.559999999998</v>
      </c>
      <c r="J59" s="21">
        <v>52</v>
      </c>
      <c r="K59" s="21">
        <v>52</v>
      </c>
      <c r="L59" s="21">
        <v>16656</v>
      </c>
      <c r="M59" s="21">
        <v>1848700</v>
      </c>
      <c r="N59" s="22">
        <f t="shared" si="0"/>
        <v>0.95348443145857487</v>
      </c>
      <c r="O59" s="22">
        <f t="shared" si="1"/>
        <v>1.04E-2</v>
      </c>
    </row>
    <row r="60" spans="1:15" x14ac:dyDescent="0.3">
      <c r="A60" s="1" t="s">
        <v>280</v>
      </c>
      <c r="B60" s="16" t="s">
        <v>305</v>
      </c>
      <c r="C60" s="17" t="s">
        <v>142</v>
      </c>
      <c r="D60" s="17" t="s">
        <v>4</v>
      </c>
      <c r="E60" s="18">
        <v>45806</v>
      </c>
      <c r="F60" s="19">
        <v>5</v>
      </c>
      <c r="H60" s="20">
        <v>1</v>
      </c>
      <c r="I60" s="21">
        <v>270653.56000000081</v>
      </c>
      <c r="J60" s="21">
        <v>777</v>
      </c>
      <c r="K60" s="21">
        <v>777</v>
      </c>
      <c r="L60" s="21">
        <v>305836.06</v>
      </c>
      <c r="M60" s="21">
        <v>1848700</v>
      </c>
      <c r="N60" s="22">
        <f t="shared" si="0"/>
        <v>1.1299909005445894</v>
      </c>
      <c r="O60" s="22">
        <f t="shared" si="1"/>
        <v>0.15540000000000001</v>
      </c>
    </row>
    <row r="61" spans="1:15" x14ac:dyDescent="0.3">
      <c r="A61" s="1" t="s">
        <v>82</v>
      </c>
      <c r="B61" s="16" t="s">
        <v>226</v>
      </c>
      <c r="C61" s="17" t="s">
        <v>94</v>
      </c>
      <c r="D61" s="17" t="s">
        <v>4</v>
      </c>
      <c r="E61" s="18">
        <v>45775</v>
      </c>
      <c r="F61" s="19">
        <v>4</v>
      </c>
      <c r="H61" s="20">
        <v>1</v>
      </c>
      <c r="I61" s="21">
        <v>422023.9</v>
      </c>
      <c r="J61" s="21">
        <v>1279</v>
      </c>
      <c r="K61" s="21">
        <v>1279</v>
      </c>
      <c r="L61" s="21">
        <v>477226.69999999995</v>
      </c>
      <c r="M61" s="21">
        <v>1950000</v>
      </c>
      <c r="N61" s="22">
        <f t="shared" si="0"/>
        <v>1.1308049141292706</v>
      </c>
      <c r="O61" s="22">
        <f t="shared" si="1"/>
        <v>0.25580000000000003</v>
      </c>
    </row>
    <row r="62" spans="1:15" x14ac:dyDescent="0.3">
      <c r="A62" s="1" t="s">
        <v>359</v>
      </c>
      <c r="B62" s="16" t="s">
        <v>93</v>
      </c>
      <c r="C62" s="17" t="s">
        <v>94</v>
      </c>
      <c r="D62" s="17" t="s">
        <v>4</v>
      </c>
      <c r="E62" s="18">
        <v>45742</v>
      </c>
      <c r="F62" s="19">
        <v>3</v>
      </c>
      <c r="H62" s="20">
        <v>1</v>
      </c>
      <c r="I62" s="21">
        <v>1402776.4999999991</v>
      </c>
      <c r="J62" s="21">
        <v>4016</v>
      </c>
      <c r="K62" s="21">
        <v>4016</v>
      </c>
      <c r="L62" s="21">
        <v>1423221.02</v>
      </c>
      <c r="M62" s="21">
        <v>1920000</v>
      </c>
      <c r="N62" s="22">
        <f t="shared" si="0"/>
        <v>1.0145743245627519</v>
      </c>
      <c r="O62" s="22">
        <f t="shared" si="1"/>
        <v>0.80320000000000003</v>
      </c>
    </row>
    <row r="63" spans="1:15" x14ac:dyDescent="0.3">
      <c r="A63" s="1" t="s">
        <v>245</v>
      </c>
      <c r="B63" s="16" t="s">
        <v>129</v>
      </c>
      <c r="C63" s="17" t="s">
        <v>94</v>
      </c>
      <c r="D63" s="17" t="s">
        <v>4</v>
      </c>
      <c r="E63" s="18">
        <v>45740</v>
      </c>
      <c r="F63" s="19">
        <v>3</v>
      </c>
      <c r="H63" s="20">
        <v>1</v>
      </c>
      <c r="I63" s="21">
        <v>981793.73000000115</v>
      </c>
      <c r="J63" s="21">
        <v>2476</v>
      </c>
      <c r="K63" s="21">
        <v>2475</v>
      </c>
      <c r="L63" s="21">
        <v>1089211.8</v>
      </c>
      <c r="M63" s="21">
        <v>1850000</v>
      </c>
      <c r="N63" s="22">
        <f t="shared" si="0"/>
        <v>1.1094100183345017</v>
      </c>
      <c r="O63" s="22">
        <f t="shared" si="1"/>
        <v>0.495</v>
      </c>
    </row>
    <row r="64" spans="1:15" x14ac:dyDescent="0.3">
      <c r="A64" s="1" t="s">
        <v>147</v>
      </c>
      <c r="B64" s="16" t="s">
        <v>453</v>
      </c>
      <c r="C64" s="17" t="s">
        <v>14</v>
      </c>
      <c r="D64" s="17" t="s">
        <v>11</v>
      </c>
      <c r="E64" s="18">
        <v>46078</v>
      </c>
      <c r="F64" s="19" t="s">
        <v>432</v>
      </c>
      <c r="H64" s="20">
        <v>1</v>
      </c>
      <c r="I64" s="21">
        <v>1314916.2400000016</v>
      </c>
      <c r="J64" s="21">
        <v>3729</v>
      </c>
      <c r="K64" s="21">
        <v>3729</v>
      </c>
      <c r="L64" s="21">
        <v>209810.24</v>
      </c>
      <c r="M64" s="21">
        <v>9250000</v>
      </c>
      <c r="N64" s="22">
        <f t="shared" si="0"/>
        <v>0.1595616767194234</v>
      </c>
      <c r="O64" s="22">
        <f t="shared" si="1"/>
        <v>0.14915999999999999</v>
      </c>
    </row>
    <row r="65" spans="1:15" x14ac:dyDescent="0.3">
      <c r="A65" s="1" t="s">
        <v>19</v>
      </c>
      <c r="B65" s="16" t="s">
        <v>115</v>
      </c>
      <c r="C65" s="17" t="s">
        <v>14</v>
      </c>
      <c r="D65" s="17" t="s">
        <v>4</v>
      </c>
      <c r="E65" s="18">
        <v>45743</v>
      </c>
      <c r="F65" s="19">
        <v>3</v>
      </c>
      <c r="G65" s="18">
        <v>46472</v>
      </c>
      <c r="H65" s="20">
        <v>2</v>
      </c>
      <c r="I65" s="21">
        <v>2276326.330000001</v>
      </c>
      <c r="J65" s="21">
        <v>6707</v>
      </c>
      <c r="K65" s="21">
        <v>6272</v>
      </c>
      <c r="L65" s="21">
        <v>2340937.7700000005</v>
      </c>
      <c r="M65" s="21">
        <v>3300369.74</v>
      </c>
      <c r="N65" s="22">
        <f t="shared" si="0"/>
        <v>1.028384084983105</v>
      </c>
      <c r="O65" s="22">
        <f t="shared" si="1"/>
        <v>0.62719999999999998</v>
      </c>
    </row>
    <row r="66" spans="1:15" x14ac:dyDescent="0.3">
      <c r="A66" s="1" t="s">
        <v>40</v>
      </c>
      <c r="B66" s="16" t="s">
        <v>13</v>
      </c>
      <c r="C66" s="17" t="s">
        <v>14</v>
      </c>
      <c r="D66" s="17" t="s">
        <v>4</v>
      </c>
      <c r="E66" s="18">
        <v>45706</v>
      </c>
      <c r="F66" s="19">
        <v>2</v>
      </c>
      <c r="H66" s="20">
        <v>1</v>
      </c>
      <c r="I66" s="21">
        <v>2431115.6599999978</v>
      </c>
      <c r="J66" s="21">
        <v>6903</v>
      </c>
      <c r="K66" s="21">
        <v>6233</v>
      </c>
      <c r="L66" s="21">
        <v>2690655.3300000005</v>
      </c>
      <c r="M66" s="21">
        <v>2743130.3400000003</v>
      </c>
      <c r="N66" s="22">
        <f t="shared" si="0"/>
        <v>1.106757434156795</v>
      </c>
      <c r="O66" s="22">
        <f t="shared" si="1"/>
        <v>1.2465999999999999</v>
      </c>
    </row>
    <row r="67" spans="1:15" x14ac:dyDescent="0.3">
      <c r="A67" s="1" t="s">
        <v>317</v>
      </c>
      <c r="B67" s="16" t="s">
        <v>20</v>
      </c>
      <c r="C67" s="17" t="s">
        <v>14</v>
      </c>
      <c r="D67" s="17" t="s">
        <v>11</v>
      </c>
      <c r="E67" s="18">
        <v>45712</v>
      </c>
      <c r="F67" s="19">
        <v>2</v>
      </c>
      <c r="H67" s="20">
        <v>1</v>
      </c>
      <c r="I67" s="21">
        <v>9298713.3500000238</v>
      </c>
      <c r="J67" s="21">
        <v>32824</v>
      </c>
      <c r="K67" s="21">
        <v>26923</v>
      </c>
      <c r="L67" s="21">
        <v>10506743.32</v>
      </c>
      <c r="M67" s="21">
        <v>10506743.32</v>
      </c>
      <c r="N67" s="22">
        <f t="shared" si="0"/>
        <v>1.1299136691852076</v>
      </c>
      <c r="O67" s="22">
        <f t="shared" si="1"/>
        <v>1.0769200000000001</v>
      </c>
    </row>
    <row r="68" spans="1:15" x14ac:dyDescent="0.3">
      <c r="A68" s="1" t="s">
        <v>185</v>
      </c>
      <c r="B68" s="16" t="s">
        <v>41</v>
      </c>
      <c r="C68" s="17" t="s">
        <v>14</v>
      </c>
      <c r="D68" s="17" t="s">
        <v>11</v>
      </c>
      <c r="E68" s="18">
        <v>45741</v>
      </c>
      <c r="F68" s="19">
        <v>3</v>
      </c>
      <c r="G68" s="18">
        <v>46266</v>
      </c>
      <c r="H68" s="20">
        <v>2</v>
      </c>
      <c r="I68" s="21">
        <v>39294243.959999979</v>
      </c>
      <c r="J68" s="21">
        <v>126031</v>
      </c>
      <c r="K68" s="21">
        <v>115823</v>
      </c>
      <c r="L68" s="21">
        <v>36046842.380000003</v>
      </c>
      <c r="M68" s="21">
        <v>46150000</v>
      </c>
      <c r="N68" s="22">
        <f t="shared" ref="N68:N131" si="2">IFERROR(L68/I68,"")</f>
        <v>0.91735681227750032</v>
      </c>
      <c r="O68" s="22">
        <f t="shared" ref="O68:O131" si="3">IF(D68="a",K68/25000,IF(D68="b",K68/15000,IF(D68="c",K68/5000)))/H68</f>
        <v>2.3164600000000002</v>
      </c>
    </row>
    <row r="69" spans="1:15" x14ac:dyDescent="0.3">
      <c r="A69" s="1" t="s">
        <v>380</v>
      </c>
      <c r="B69" s="16" t="s">
        <v>318</v>
      </c>
      <c r="C69" s="17" t="s">
        <v>14</v>
      </c>
      <c r="D69" s="17" t="s">
        <v>4</v>
      </c>
      <c r="E69" s="18">
        <v>45813</v>
      </c>
      <c r="F69" s="19">
        <v>6</v>
      </c>
      <c r="H69" s="20">
        <v>1</v>
      </c>
      <c r="I69" s="21">
        <v>2033843.71</v>
      </c>
      <c r="J69" s="21">
        <v>6192</v>
      </c>
      <c r="K69" s="21">
        <v>6192</v>
      </c>
      <c r="L69" s="21">
        <v>2059123.6700000002</v>
      </c>
      <c r="M69" s="21">
        <v>3500000</v>
      </c>
      <c r="N69" s="22">
        <f t="shared" si="2"/>
        <v>1.0124296473105105</v>
      </c>
      <c r="O69" s="22">
        <f t="shared" si="3"/>
        <v>1.2383999999999999</v>
      </c>
    </row>
    <row r="70" spans="1:15" x14ac:dyDescent="0.3">
      <c r="B70" s="16" t="s">
        <v>457</v>
      </c>
      <c r="C70" s="17" t="s">
        <v>14</v>
      </c>
      <c r="D70" s="17" t="s">
        <v>18</v>
      </c>
      <c r="E70" s="18">
        <v>46113</v>
      </c>
      <c r="F70" s="19" t="s">
        <v>530</v>
      </c>
      <c r="H70" s="20">
        <v>1</v>
      </c>
      <c r="I70" s="21">
        <v>102675.56</v>
      </c>
      <c r="J70" s="21">
        <v>332</v>
      </c>
      <c r="K70" s="21">
        <v>332</v>
      </c>
      <c r="L70" s="21">
        <v>22094.799999999999</v>
      </c>
      <c r="M70" s="21">
        <v>8177905.2000000002</v>
      </c>
      <c r="N70" s="22">
        <f t="shared" si="2"/>
        <v>0.2151904503856614</v>
      </c>
      <c r="O70" s="22">
        <f t="shared" si="3"/>
        <v>2.2133333333333335E-2</v>
      </c>
    </row>
    <row r="71" spans="1:15" x14ac:dyDescent="0.3">
      <c r="A71" s="1" t="s">
        <v>130</v>
      </c>
      <c r="B71" s="16" t="s">
        <v>186</v>
      </c>
      <c r="C71" s="17" t="s">
        <v>14</v>
      </c>
      <c r="D71" s="17" t="s">
        <v>4</v>
      </c>
      <c r="E71" s="18">
        <v>45756</v>
      </c>
      <c r="F71" s="19">
        <v>4</v>
      </c>
      <c r="G71" s="18">
        <v>46487</v>
      </c>
      <c r="H71" s="20">
        <v>2</v>
      </c>
      <c r="I71" s="21">
        <v>1674151.8</v>
      </c>
      <c r="J71" s="21">
        <v>5549</v>
      </c>
      <c r="K71" s="21">
        <v>5063</v>
      </c>
      <c r="L71" s="21">
        <v>1876281.2700000005</v>
      </c>
      <c r="M71" s="21">
        <v>3510000</v>
      </c>
      <c r="N71" s="22">
        <f t="shared" si="2"/>
        <v>1.1207354494377395</v>
      </c>
      <c r="O71" s="22">
        <f t="shared" si="3"/>
        <v>0.50629999999999997</v>
      </c>
    </row>
    <row r="72" spans="1:15" x14ac:dyDescent="0.3">
      <c r="B72" s="16" t="s">
        <v>381</v>
      </c>
      <c r="C72" s="17" t="s">
        <v>14</v>
      </c>
      <c r="D72" s="17" t="s">
        <v>4</v>
      </c>
      <c r="E72" s="18">
        <v>45845</v>
      </c>
      <c r="F72" s="19">
        <v>7</v>
      </c>
      <c r="H72" s="20">
        <v>1</v>
      </c>
      <c r="I72" s="21">
        <v>790794.33000000007</v>
      </c>
      <c r="J72" s="21">
        <v>2176</v>
      </c>
      <c r="K72" s="21">
        <v>2176</v>
      </c>
      <c r="L72" s="21">
        <v>769802.44000000018</v>
      </c>
      <c r="M72" s="21">
        <v>3172000</v>
      </c>
      <c r="N72" s="22">
        <f t="shared" si="2"/>
        <v>0.97345467815885844</v>
      </c>
      <c r="O72" s="22">
        <f t="shared" si="3"/>
        <v>0.43519999999999998</v>
      </c>
    </row>
    <row r="73" spans="1:15" x14ac:dyDescent="0.3">
      <c r="A73" s="1" t="s">
        <v>154</v>
      </c>
      <c r="B73" s="16" t="s">
        <v>429</v>
      </c>
      <c r="C73" s="17" t="s">
        <v>14</v>
      </c>
      <c r="D73" s="17" t="s">
        <v>11</v>
      </c>
      <c r="E73" s="18">
        <v>46036</v>
      </c>
      <c r="F73" s="19" t="s">
        <v>428</v>
      </c>
      <c r="H73" s="20">
        <v>1</v>
      </c>
      <c r="I73" s="21">
        <v>3359754.3399999989</v>
      </c>
      <c r="J73" s="21">
        <v>7189</v>
      </c>
      <c r="K73" s="21">
        <v>7189</v>
      </c>
      <c r="L73" s="21">
        <v>2537432.31</v>
      </c>
      <c r="M73" s="21">
        <v>9000000</v>
      </c>
      <c r="N73" s="22">
        <f t="shared" si="2"/>
        <v>0.75524340568304793</v>
      </c>
      <c r="O73" s="22">
        <f t="shared" si="3"/>
        <v>0.28755999999999998</v>
      </c>
    </row>
    <row r="74" spans="1:15" x14ac:dyDescent="0.3">
      <c r="B74" s="16" t="s">
        <v>131</v>
      </c>
      <c r="C74" s="17" t="s">
        <v>14</v>
      </c>
      <c r="D74" s="17" t="s">
        <v>4</v>
      </c>
      <c r="E74" s="18">
        <v>45743</v>
      </c>
      <c r="F74" s="19">
        <v>3</v>
      </c>
      <c r="H74" s="20">
        <v>1</v>
      </c>
      <c r="I74" s="21">
        <v>1175052.27</v>
      </c>
      <c r="J74" s="21">
        <v>2498</v>
      </c>
      <c r="K74" s="21">
        <v>2496</v>
      </c>
      <c r="L74" s="21">
        <v>1228656.3600000001</v>
      </c>
      <c r="M74" s="21">
        <v>3000000</v>
      </c>
      <c r="N74" s="22">
        <f t="shared" si="2"/>
        <v>1.0456184727850448</v>
      </c>
      <c r="O74" s="22">
        <f t="shared" si="3"/>
        <v>0.49919999999999998</v>
      </c>
    </row>
    <row r="75" spans="1:15" x14ac:dyDescent="0.3">
      <c r="A75" s="1" t="s">
        <v>284</v>
      </c>
      <c r="B75" s="16" t="s">
        <v>414</v>
      </c>
      <c r="C75" s="17" t="s">
        <v>14</v>
      </c>
      <c r="D75" s="17" t="s">
        <v>4</v>
      </c>
      <c r="E75" s="18">
        <v>45908</v>
      </c>
      <c r="F75" s="19">
        <v>9</v>
      </c>
      <c r="H75" s="20">
        <v>1</v>
      </c>
      <c r="I75" s="21">
        <v>366544.70000000007</v>
      </c>
      <c r="J75" s="21">
        <v>1059</v>
      </c>
      <c r="K75" s="21">
        <v>1058</v>
      </c>
      <c r="L75" s="21">
        <v>393645.5</v>
      </c>
      <c r="M75" s="21">
        <v>3000000</v>
      </c>
      <c r="N75" s="22">
        <f t="shared" si="2"/>
        <v>1.0739358664850425</v>
      </c>
      <c r="O75" s="22">
        <f t="shared" si="3"/>
        <v>0.21160000000000001</v>
      </c>
    </row>
    <row r="76" spans="1:15" x14ac:dyDescent="0.3">
      <c r="B76" s="16" t="s">
        <v>155</v>
      </c>
      <c r="C76" s="17" t="s">
        <v>14</v>
      </c>
      <c r="D76" s="17" t="s">
        <v>4</v>
      </c>
      <c r="E76" s="18">
        <v>45768</v>
      </c>
      <c r="F76" s="19">
        <v>4</v>
      </c>
      <c r="G76" s="18">
        <v>46492</v>
      </c>
      <c r="H76" s="20">
        <v>2</v>
      </c>
      <c r="I76" s="21">
        <v>3707353.8399999952</v>
      </c>
      <c r="J76" s="21">
        <v>10197</v>
      </c>
      <c r="K76" s="21">
        <v>10197</v>
      </c>
      <c r="L76" s="21">
        <v>3408825.5399999996</v>
      </c>
      <c r="M76" s="21">
        <v>5618559.7699999996</v>
      </c>
      <c r="N76" s="22">
        <f t="shared" si="2"/>
        <v>0.91947671765800587</v>
      </c>
      <c r="O76" s="22">
        <f t="shared" si="3"/>
        <v>1.0197000000000001</v>
      </c>
    </row>
    <row r="77" spans="1:15" x14ac:dyDescent="0.3">
      <c r="A77" s="1" t="s">
        <v>396</v>
      </c>
      <c r="B77" s="16" t="s">
        <v>417</v>
      </c>
      <c r="C77" s="17" t="s">
        <v>14</v>
      </c>
      <c r="D77" s="17" t="s">
        <v>4</v>
      </c>
      <c r="E77" s="18">
        <v>45958</v>
      </c>
      <c r="F77" s="19">
        <v>10</v>
      </c>
      <c r="H77" s="20">
        <v>1</v>
      </c>
      <c r="I77" s="21">
        <v>1805537.6499999997</v>
      </c>
      <c r="J77" s="21">
        <v>5533</v>
      </c>
      <c r="K77" s="21">
        <v>5232</v>
      </c>
      <c r="L77" s="21">
        <v>1762492.8399999999</v>
      </c>
      <c r="M77" s="21">
        <v>3000000</v>
      </c>
      <c r="N77" s="22">
        <f t="shared" si="2"/>
        <v>0.97615956111466307</v>
      </c>
      <c r="O77" s="22">
        <f t="shared" si="3"/>
        <v>1.0464</v>
      </c>
    </row>
    <row r="78" spans="1:15" x14ac:dyDescent="0.3">
      <c r="A78" s="1" t="s">
        <v>112</v>
      </c>
      <c r="B78" s="16" t="s">
        <v>350</v>
      </c>
      <c r="C78" s="17" t="s">
        <v>14</v>
      </c>
      <c r="D78" s="17" t="s">
        <v>4</v>
      </c>
      <c r="E78" s="18">
        <v>45838</v>
      </c>
      <c r="F78" s="19">
        <v>6</v>
      </c>
      <c r="H78" s="20">
        <v>1</v>
      </c>
      <c r="I78" s="21">
        <v>277888.81999999995</v>
      </c>
      <c r="J78" s="21">
        <v>806</v>
      </c>
      <c r="K78" s="21">
        <v>806</v>
      </c>
      <c r="L78" s="21">
        <v>244472.56</v>
      </c>
      <c r="M78" s="21">
        <v>3000000</v>
      </c>
      <c r="N78" s="22">
        <f t="shared" si="2"/>
        <v>0.87974953436413905</v>
      </c>
      <c r="O78" s="22">
        <f t="shared" si="3"/>
        <v>0.16120000000000001</v>
      </c>
    </row>
    <row r="79" spans="1:15" x14ac:dyDescent="0.3">
      <c r="A79" s="1" t="s">
        <v>384</v>
      </c>
      <c r="B79" s="16" t="s">
        <v>54</v>
      </c>
      <c r="C79" s="17" t="s">
        <v>14</v>
      </c>
      <c r="D79" s="17" t="s">
        <v>4</v>
      </c>
      <c r="E79" s="18">
        <v>45730</v>
      </c>
      <c r="F79" s="19">
        <v>3</v>
      </c>
      <c r="H79" s="20">
        <v>1</v>
      </c>
      <c r="I79" s="21">
        <v>1920601.27</v>
      </c>
      <c r="J79" s="21">
        <v>6442</v>
      </c>
      <c r="K79" s="21">
        <v>5803</v>
      </c>
      <c r="L79" s="21">
        <v>2170278.75</v>
      </c>
      <c r="M79" s="21">
        <v>2170278.75</v>
      </c>
      <c r="N79" s="22">
        <f t="shared" si="2"/>
        <v>1.1299996432887915</v>
      </c>
      <c r="O79" s="22">
        <f t="shared" si="3"/>
        <v>1.1606000000000001</v>
      </c>
    </row>
    <row r="80" spans="1:15" x14ac:dyDescent="0.3">
      <c r="B80" s="16" t="s">
        <v>377</v>
      </c>
      <c r="C80" s="17" t="s">
        <v>14</v>
      </c>
      <c r="D80" s="17" t="s">
        <v>11</v>
      </c>
      <c r="E80" s="18">
        <v>45859</v>
      </c>
      <c r="F80" s="19">
        <v>7</v>
      </c>
      <c r="H80" s="20">
        <v>1</v>
      </c>
      <c r="I80" s="21">
        <v>5278389.1600000039</v>
      </c>
      <c r="J80" s="21">
        <v>18098</v>
      </c>
      <c r="K80" s="21">
        <v>16204</v>
      </c>
      <c r="L80" s="21">
        <v>4703574.7299999995</v>
      </c>
      <c r="M80" s="21">
        <v>9000000.0199999996</v>
      </c>
      <c r="N80" s="22">
        <f t="shared" si="2"/>
        <v>0.89110040723105688</v>
      </c>
      <c r="O80" s="22">
        <f t="shared" si="3"/>
        <v>0.64815999999999996</v>
      </c>
    </row>
    <row r="81" spans="1:15" x14ac:dyDescent="0.3">
      <c r="A81" s="1" t="s">
        <v>343</v>
      </c>
      <c r="B81" s="16" t="s">
        <v>320</v>
      </c>
      <c r="C81" s="17" t="s">
        <v>14</v>
      </c>
      <c r="D81" s="17" t="s">
        <v>4</v>
      </c>
      <c r="E81" s="18">
        <v>45835</v>
      </c>
      <c r="F81" s="19">
        <v>6</v>
      </c>
      <c r="H81" s="20">
        <v>1</v>
      </c>
      <c r="I81" s="21">
        <v>2249002.3700000085</v>
      </c>
      <c r="J81" s="21">
        <v>5989</v>
      </c>
      <c r="K81" s="21">
        <v>5977</v>
      </c>
      <c r="L81" s="21">
        <v>2395017.3800000004</v>
      </c>
      <c r="M81" s="21">
        <v>3000000</v>
      </c>
      <c r="N81" s="22">
        <f t="shared" si="2"/>
        <v>1.0649243468782967</v>
      </c>
      <c r="O81" s="22">
        <f t="shared" si="3"/>
        <v>1.1954</v>
      </c>
    </row>
    <row r="82" spans="1:15" x14ac:dyDescent="0.3">
      <c r="A82" s="2"/>
      <c r="B82" s="16" t="s">
        <v>342</v>
      </c>
      <c r="C82" s="17" t="s">
        <v>14</v>
      </c>
      <c r="D82" s="17" t="s">
        <v>4</v>
      </c>
      <c r="E82" s="18">
        <v>45828</v>
      </c>
      <c r="F82" s="19">
        <v>6</v>
      </c>
      <c r="H82" s="20">
        <v>1</v>
      </c>
      <c r="I82" s="21">
        <v>505294.85000000021</v>
      </c>
      <c r="J82" s="21">
        <v>1445</v>
      </c>
      <c r="K82" s="21">
        <v>1445</v>
      </c>
      <c r="L82" s="21">
        <v>448838.57999999996</v>
      </c>
      <c r="M82" s="21">
        <v>3000000</v>
      </c>
      <c r="N82" s="22">
        <f t="shared" si="2"/>
        <v>0.88827064039936243</v>
      </c>
      <c r="O82" s="22">
        <f t="shared" si="3"/>
        <v>0.28899999999999998</v>
      </c>
    </row>
    <row r="83" spans="1:15" x14ac:dyDescent="0.3">
      <c r="A83" s="1" t="s">
        <v>183</v>
      </c>
      <c r="B83" s="16" t="s">
        <v>109</v>
      </c>
      <c r="C83" s="17" t="s">
        <v>14</v>
      </c>
      <c r="D83" s="17" t="s">
        <v>4</v>
      </c>
      <c r="E83" s="18">
        <v>45730</v>
      </c>
      <c r="F83" s="19">
        <v>3</v>
      </c>
      <c r="G83" s="18">
        <v>46464</v>
      </c>
      <c r="H83" s="20">
        <v>2</v>
      </c>
      <c r="I83" s="21">
        <v>2876481.6499999976</v>
      </c>
      <c r="J83" s="21">
        <v>7312</v>
      </c>
      <c r="K83" s="21">
        <v>7312</v>
      </c>
      <c r="L83" s="21">
        <v>2860727.21</v>
      </c>
      <c r="M83" s="21">
        <v>4060000</v>
      </c>
      <c r="N83" s="22">
        <f t="shared" si="2"/>
        <v>0.99452301738132154</v>
      </c>
      <c r="O83" s="22">
        <f t="shared" si="3"/>
        <v>0.73119999999999996</v>
      </c>
    </row>
    <row r="84" spans="1:15" x14ac:dyDescent="0.3">
      <c r="A84" s="1" t="s">
        <v>92</v>
      </c>
      <c r="B84" s="16" t="s">
        <v>125</v>
      </c>
      <c r="C84" s="17" t="s">
        <v>14</v>
      </c>
      <c r="D84" s="17" t="s">
        <v>18</v>
      </c>
      <c r="E84" s="18">
        <v>45727</v>
      </c>
      <c r="F84" s="19">
        <v>3</v>
      </c>
      <c r="G84" s="18">
        <v>46459</v>
      </c>
      <c r="H84" s="20">
        <v>2</v>
      </c>
      <c r="I84" s="21">
        <v>5864008.1800000072</v>
      </c>
      <c r="J84" s="21">
        <v>19213</v>
      </c>
      <c r="K84" s="21">
        <v>16963</v>
      </c>
      <c r="L84" s="21">
        <v>6625821.3199999994</v>
      </c>
      <c r="M84" s="21">
        <v>7850000</v>
      </c>
      <c r="N84" s="22">
        <f t="shared" si="2"/>
        <v>1.1299133828970871</v>
      </c>
      <c r="O84" s="22">
        <f t="shared" si="3"/>
        <v>0.56543333333333334</v>
      </c>
    </row>
    <row r="85" spans="1:15" x14ac:dyDescent="0.3">
      <c r="A85" s="1" t="s">
        <v>191</v>
      </c>
      <c r="B85" s="16" t="s">
        <v>532</v>
      </c>
      <c r="C85" s="17" t="s">
        <v>14</v>
      </c>
      <c r="D85" s="17" t="s">
        <v>4</v>
      </c>
      <c r="E85" s="18">
        <v>46140</v>
      </c>
      <c r="F85" s="19" t="s">
        <v>530</v>
      </c>
      <c r="H85" s="20">
        <v>1</v>
      </c>
      <c r="I85" s="21">
        <v>51529.219999999987</v>
      </c>
      <c r="J85" s="21">
        <v>153</v>
      </c>
      <c r="K85" s="21">
        <v>153</v>
      </c>
      <c r="L85" s="21">
        <v>0</v>
      </c>
      <c r="M85" s="21">
        <v>5300000</v>
      </c>
      <c r="N85" s="22">
        <f t="shared" si="2"/>
        <v>0</v>
      </c>
      <c r="O85" s="22">
        <f t="shared" si="3"/>
        <v>3.0599999999999999E-2</v>
      </c>
    </row>
    <row r="86" spans="1:15" x14ac:dyDescent="0.3">
      <c r="A86" s="1" t="s">
        <v>349</v>
      </c>
      <c r="B86" s="16" t="s">
        <v>64</v>
      </c>
      <c r="C86" s="17" t="s">
        <v>14</v>
      </c>
      <c r="D86" s="17" t="s">
        <v>4</v>
      </c>
      <c r="E86" s="18">
        <v>45741</v>
      </c>
      <c r="F86" s="19">
        <v>3</v>
      </c>
      <c r="H86" s="20">
        <v>1</v>
      </c>
      <c r="I86" s="21">
        <v>1708789.52</v>
      </c>
      <c r="J86" s="21">
        <v>5550</v>
      </c>
      <c r="K86" s="21">
        <v>5000</v>
      </c>
      <c r="L86" s="21">
        <v>1930931.67</v>
      </c>
      <c r="M86" s="21">
        <v>1930931.67</v>
      </c>
      <c r="N86" s="22">
        <f t="shared" si="2"/>
        <v>1.1299997146518079</v>
      </c>
      <c r="O86" s="22">
        <f t="shared" si="3"/>
        <v>1</v>
      </c>
    </row>
    <row r="87" spans="1:15" x14ac:dyDescent="0.3">
      <c r="A87" s="1" t="s">
        <v>372</v>
      </c>
      <c r="B87" s="16" t="s">
        <v>365</v>
      </c>
      <c r="C87" s="17" t="s">
        <v>14</v>
      </c>
      <c r="D87" s="17" t="s">
        <v>4</v>
      </c>
      <c r="E87" s="18">
        <v>45847</v>
      </c>
      <c r="F87" s="19">
        <v>7</v>
      </c>
      <c r="G87" s="18">
        <v>46423</v>
      </c>
      <c r="H87" s="20">
        <v>2</v>
      </c>
      <c r="I87" s="21">
        <v>3397425.9099999983</v>
      </c>
      <c r="J87" s="21">
        <v>10906</v>
      </c>
      <c r="K87" s="21">
        <v>10076</v>
      </c>
      <c r="L87" s="21">
        <v>3471080.7499999995</v>
      </c>
      <c r="M87" s="21">
        <v>4400000</v>
      </c>
      <c r="N87" s="22">
        <f t="shared" si="2"/>
        <v>1.0216796015428049</v>
      </c>
      <c r="O87" s="22">
        <f t="shared" si="3"/>
        <v>1.0076000000000001</v>
      </c>
    </row>
    <row r="88" spans="1:15" x14ac:dyDescent="0.3">
      <c r="A88" s="1" t="s">
        <v>345</v>
      </c>
      <c r="B88" s="16" t="s">
        <v>212</v>
      </c>
      <c r="C88" s="17" t="s">
        <v>14</v>
      </c>
      <c r="D88" s="17" t="s">
        <v>4</v>
      </c>
      <c r="E88" s="18">
        <v>45763</v>
      </c>
      <c r="F88" s="19">
        <v>4</v>
      </c>
      <c r="H88" s="20">
        <v>1</v>
      </c>
      <c r="I88" s="21">
        <v>1199952.6099999987</v>
      </c>
      <c r="J88" s="21">
        <v>2857</v>
      </c>
      <c r="K88" s="21">
        <v>2607</v>
      </c>
      <c r="L88" s="21">
        <v>1243336.28</v>
      </c>
      <c r="M88" s="21">
        <v>2815813.52</v>
      </c>
      <c r="N88" s="22">
        <f t="shared" si="2"/>
        <v>1.0361544861342493</v>
      </c>
      <c r="O88" s="22">
        <f t="shared" si="3"/>
        <v>0.52139999999999997</v>
      </c>
    </row>
    <row r="89" spans="1:15" x14ac:dyDescent="0.3">
      <c r="A89" s="1" t="s">
        <v>274</v>
      </c>
      <c r="B89" s="16" t="s">
        <v>214</v>
      </c>
      <c r="C89" s="17" t="s">
        <v>14</v>
      </c>
      <c r="D89" s="17" t="s">
        <v>4</v>
      </c>
      <c r="E89" s="18">
        <v>45763</v>
      </c>
      <c r="F89" s="19">
        <v>4</v>
      </c>
      <c r="H89" s="20">
        <v>1</v>
      </c>
      <c r="I89" s="21">
        <v>946733.80000000051</v>
      </c>
      <c r="J89" s="21">
        <v>2778</v>
      </c>
      <c r="K89" s="21">
        <v>2533</v>
      </c>
      <c r="L89" s="21">
        <v>971902.91999999993</v>
      </c>
      <c r="M89" s="21">
        <v>3000000</v>
      </c>
      <c r="N89" s="22">
        <f t="shared" si="2"/>
        <v>1.0265852132880429</v>
      </c>
      <c r="O89" s="22">
        <f t="shared" si="3"/>
        <v>0.50660000000000005</v>
      </c>
    </row>
    <row r="90" spans="1:15" x14ac:dyDescent="0.3">
      <c r="A90" s="1" t="s">
        <v>374</v>
      </c>
      <c r="B90" s="16" t="s">
        <v>421</v>
      </c>
      <c r="C90" s="17" t="s">
        <v>14</v>
      </c>
      <c r="D90" s="17" t="s">
        <v>4</v>
      </c>
      <c r="E90" s="18">
        <v>45952</v>
      </c>
      <c r="F90" s="19">
        <v>10</v>
      </c>
      <c r="H90" s="20">
        <v>1</v>
      </c>
      <c r="I90" s="21">
        <v>428285.86999999988</v>
      </c>
      <c r="J90" s="21">
        <v>1346</v>
      </c>
      <c r="K90" s="21">
        <v>1345</v>
      </c>
      <c r="L90" s="21">
        <v>428993.18000000005</v>
      </c>
      <c r="M90" s="21">
        <v>3000000</v>
      </c>
      <c r="N90" s="22">
        <f t="shared" si="2"/>
        <v>1.0016514903935545</v>
      </c>
      <c r="O90" s="22">
        <f t="shared" si="3"/>
        <v>0.26900000000000002</v>
      </c>
    </row>
    <row r="91" spans="1:15" x14ac:dyDescent="0.3">
      <c r="A91" s="1" t="s">
        <v>53</v>
      </c>
      <c r="B91" s="16" t="s">
        <v>32</v>
      </c>
      <c r="C91" s="17" t="s">
        <v>14</v>
      </c>
      <c r="D91" s="17" t="s">
        <v>4</v>
      </c>
      <c r="E91" s="18">
        <v>45708</v>
      </c>
      <c r="F91" s="19">
        <v>2</v>
      </c>
      <c r="G91" s="18">
        <v>46446</v>
      </c>
      <c r="H91" s="20">
        <v>2</v>
      </c>
      <c r="I91" s="21">
        <v>2966940.3100000219</v>
      </c>
      <c r="J91" s="21">
        <v>7851</v>
      </c>
      <c r="K91" s="21">
        <v>7851</v>
      </c>
      <c r="L91" s="21">
        <v>2885191.4200000004</v>
      </c>
      <c r="M91" s="21">
        <v>4000000</v>
      </c>
      <c r="N91" s="22">
        <f t="shared" si="2"/>
        <v>0.97244673587652297</v>
      </c>
      <c r="O91" s="22">
        <f t="shared" si="3"/>
        <v>0.78510000000000002</v>
      </c>
    </row>
    <row r="92" spans="1:15" x14ac:dyDescent="0.3">
      <c r="A92" s="1" t="s">
        <v>376</v>
      </c>
      <c r="B92" s="16" t="s">
        <v>30</v>
      </c>
      <c r="C92" s="17" t="s">
        <v>14</v>
      </c>
      <c r="D92" s="17" t="s">
        <v>11</v>
      </c>
      <c r="E92" s="18">
        <v>45712</v>
      </c>
      <c r="F92" s="19">
        <v>2</v>
      </c>
      <c r="G92" s="18">
        <v>46443</v>
      </c>
      <c r="H92" s="20">
        <v>3</v>
      </c>
      <c r="I92" s="21">
        <v>21135775.13000001</v>
      </c>
      <c r="J92" s="21">
        <v>72692</v>
      </c>
      <c r="K92" s="21">
        <v>62715</v>
      </c>
      <c r="L92" s="21">
        <v>21293079.690000001</v>
      </c>
      <c r="M92" s="21">
        <v>26235899.809999999</v>
      </c>
      <c r="N92" s="22">
        <f t="shared" si="2"/>
        <v>1.0074425735054644</v>
      </c>
      <c r="O92" s="22">
        <f t="shared" si="3"/>
        <v>0.83619999999999994</v>
      </c>
    </row>
    <row r="93" spans="1:15" x14ac:dyDescent="0.3">
      <c r="A93" s="1" t="s">
        <v>319</v>
      </c>
      <c r="B93" s="16" t="s">
        <v>43</v>
      </c>
      <c r="C93" s="17" t="s">
        <v>14</v>
      </c>
      <c r="D93" s="17" t="s">
        <v>4</v>
      </c>
      <c r="E93" s="18">
        <v>45741</v>
      </c>
      <c r="F93" s="19">
        <v>3</v>
      </c>
      <c r="G93" s="18">
        <v>46487</v>
      </c>
      <c r="H93" s="20">
        <v>2</v>
      </c>
      <c r="I93" s="21">
        <v>3535198.5400000038</v>
      </c>
      <c r="J93" s="21">
        <v>10916</v>
      </c>
      <c r="K93" s="21">
        <v>10554</v>
      </c>
      <c r="L93" s="21">
        <v>3801133.93</v>
      </c>
      <c r="M93" s="21">
        <v>4450000</v>
      </c>
      <c r="N93" s="22">
        <f t="shared" si="2"/>
        <v>1.0752250225810502</v>
      </c>
      <c r="O93" s="22">
        <f t="shared" si="3"/>
        <v>1.0553999999999999</v>
      </c>
    </row>
    <row r="94" spans="1:15" x14ac:dyDescent="0.3">
      <c r="A94" s="1" t="s">
        <v>341</v>
      </c>
      <c r="B94" s="16" t="s">
        <v>242</v>
      </c>
      <c r="C94" s="17" t="s">
        <v>14</v>
      </c>
      <c r="D94" s="17" t="s">
        <v>4</v>
      </c>
      <c r="E94" s="18">
        <v>45806</v>
      </c>
      <c r="F94" s="19">
        <v>5</v>
      </c>
      <c r="H94" s="20">
        <v>1</v>
      </c>
      <c r="I94" s="21">
        <v>2185007.680000003</v>
      </c>
      <c r="J94" s="21">
        <v>6746</v>
      </c>
      <c r="K94" s="21">
        <v>6391</v>
      </c>
      <c r="L94" s="21">
        <v>1995915.7999999998</v>
      </c>
      <c r="M94" s="21">
        <v>3000000</v>
      </c>
      <c r="N94" s="22">
        <f t="shared" si="2"/>
        <v>0.9134593980008332</v>
      </c>
      <c r="O94" s="22">
        <f t="shared" si="3"/>
        <v>1.2782</v>
      </c>
    </row>
    <row r="95" spans="1:15" x14ac:dyDescent="0.3">
      <c r="A95" s="1" t="s">
        <v>88</v>
      </c>
      <c r="B95" s="16" t="s">
        <v>127</v>
      </c>
      <c r="C95" s="17" t="s">
        <v>14</v>
      </c>
      <c r="D95" s="17" t="s">
        <v>4</v>
      </c>
      <c r="E95" s="18">
        <v>45729</v>
      </c>
      <c r="F95" s="19">
        <v>3</v>
      </c>
      <c r="G95" s="18">
        <v>46459</v>
      </c>
      <c r="H95" s="20">
        <v>2</v>
      </c>
      <c r="I95" s="21">
        <v>1971862.8700000034</v>
      </c>
      <c r="J95" s="21">
        <v>6194</v>
      </c>
      <c r="K95" s="21">
        <v>5574</v>
      </c>
      <c r="L95" s="21">
        <v>2206903.4300000002</v>
      </c>
      <c r="M95" s="21">
        <v>3000000</v>
      </c>
      <c r="N95" s="22">
        <f t="shared" si="2"/>
        <v>1.1191972137494512</v>
      </c>
      <c r="O95" s="22">
        <f t="shared" si="3"/>
        <v>0.55740000000000001</v>
      </c>
    </row>
    <row r="96" spans="1:15" x14ac:dyDescent="0.3">
      <c r="A96" s="1" t="s">
        <v>134</v>
      </c>
      <c r="B96" s="16" t="s">
        <v>438</v>
      </c>
      <c r="C96" s="17" t="s">
        <v>14</v>
      </c>
      <c r="D96" s="17" t="s">
        <v>18</v>
      </c>
      <c r="E96" s="18">
        <v>46107</v>
      </c>
      <c r="F96" s="19" t="s">
        <v>435</v>
      </c>
      <c r="H96" s="20">
        <v>1</v>
      </c>
      <c r="I96" s="21">
        <v>284819.15000000002</v>
      </c>
      <c r="J96" s="21">
        <v>949</v>
      </c>
      <c r="K96" s="21">
        <v>949</v>
      </c>
      <c r="L96" s="21">
        <v>173359.2</v>
      </c>
      <c r="M96" s="21">
        <v>4500000</v>
      </c>
      <c r="N96" s="22">
        <f t="shared" si="2"/>
        <v>0.60866412950112381</v>
      </c>
      <c r="O96" s="22">
        <f t="shared" si="3"/>
        <v>6.3266666666666665E-2</v>
      </c>
    </row>
    <row r="97" spans="1:15" x14ac:dyDescent="0.3">
      <c r="A97" s="1" t="s">
        <v>294</v>
      </c>
      <c r="B97" s="16" t="s">
        <v>433</v>
      </c>
      <c r="C97" s="17" t="s">
        <v>14</v>
      </c>
      <c r="D97" s="17" t="s">
        <v>4</v>
      </c>
      <c r="E97" s="18">
        <v>46079</v>
      </c>
      <c r="F97" s="19" t="s">
        <v>432</v>
      </c>
      <c r="H97" s="20">
        <v>1</v>
      </c>
      <c r="I97" s="21">
        <v>96260.479999999996</v>
      </c>
      <c r="J97" s="21">
        <v>320</v>
      </c>
      <c r="K97" s="21">
        <v>320</v>
      </c>
      <c r="L97" s="21">
        <v>61185.599999999999</v>
      </c>
      <c r="M97" s="21">
        <v>3000000</v>
      </c>
      <c r="N97" s="22">
        <f t="shared" si="2"/>
        <v>0.63562533658672804</v>
      </c>
      <c r="O97" s="22">
        <f t="shared" si="3"/>
        <v>6.4000000000000001E-2</v>
      </c>
    </row>
    <row r="98" spans="1:15" x14ac:dyDescent="0.3">
      <c r="A98" s="1" t="s">
        <v>15</v>
      </c>
      <c r="B98" s="16" t="s">
        <v>289</v>
      </c>
      <c r="C98" s="17" t="s">
        <v>14</v>
      </c>
      <c r="D98" s="17" t="s">
        <v>4</v>
      </c>
      <c r="E98" s="18">
        <v>45806</v>
      </c>
      <c r="F98" s="19">
        <v>5</v>
      </c>
      <c r="H98" s="20">
        <v>1</v>
      </c>
      <c r="I98" s="21">
        <v>563236.55999999959</v>
      </c>
      <c r="J98" s="21">
        <v>1755</v>
      </c>
      <c r="K98" s="21">
        <v>1755</v>
      </c>
      <c r="L98" s="21">
        <v>636457.02</v>
      </c>
      <c r="M98" s="21">
        <v>3000000</v>
      </c>
      <c r="N98" s="22">
        <f t="shared" si="2"/>
        <v>1.1299994801473834</v>
      </c>
      <c r="O98" s="22">
        <f t="shared" si="3"/>
        <v>0.35099999999999998</v>
      </c>
    </row>
    <row r="99" spans="1:15" x14ac:dyDescent="0.3">
      <c r="A99" s="1" t="s">
        <v>73</v>
      </c>
      <c r="B99" s="16" t="s">
        <v>444</v>
      </c>
      <c r="C99" s="17" t="s">
        <v>46</v>
      </c>
      <c r="D99" s="17" t="s">
        <v>4</v>
      </c>
      <c r="E99" s="18">
        <v>46092</v>
      </c>
      <c r="F99" s="19" t="s">
        <v>435</v>
      </c>
      <c r="H99" s="20">
        <v>1</v>
      </c>
      <c r="I99" s="21">
        <v>3459.3599999999997</v>
      </c>
      <c r="J99" s="21">
        <v>10</v>
      </c>
      <c r="K99" s="21">
        <v>10</v>
      </c>
      <c r="L99" s="21">
        <v>0</v>
      </c>
      <c r="M99" s="21">
        <v>3000000</v>
      </c>
      <c r="N99" s="22">
        <f t="shared" si="2"/>
        <v>0</v>
      </c>
      <c r="O99" s="22">
        <f t="shared" si="3"/>
        <v>2E-3</v>
      </c>
    </row>
    <row r="100" spans="1:15" x14ac:dyDescent="0.3">
      <c r="A100" s="1" t="s">
        <v>49</v>
      </c>
      <c r="B100" s="16" t="s">
        <v>410</v>
      </c>
      <c r="C100" s="17" t="s">
        <v>46</v>
      </c>
      <c r="D100" s="17" t="s">
        <v>4</v>
      </c>
      <c r="E100" s="18">
        <v>45910</v>
      </c>
      <c r="F100" s="19">
        <v>9</v>
      </c>
      <c r="H100" s="20">
        <v>1</v>
      </c>
      <c r="I100" s="21">
        <v>634621.65000000014</v>
      </c>
      <c r="J100" s="21">
        <v>2016</v>
      </c>
      <c r="K100" s="21">
        <v>1865</v>
      </c>
      <c r="L100" s="21">
        <v>713383.4</v>
      </c>
      <c r="M100" s="21">
        <v>3000000</v>
      </c>
      <c r="N100" s="22">
        <f t="shared" si="2"/>
        <v>1.1241081989560233</v>
      </c>
      <c r="O100" s="22">
        <f t="shared" si="3"/>
        <v>0.373</v>
      </c>
    </row>
    <row r="101" spans="1:15" x14ac:dyDescent="0.3">
      <c r="A101" s="1" t="s">
        <v>168</v>
      </c>
      <c r="B101" s="16" t="s">
        <v>416</v>
      </c>
      <c r="C101" s="17" t="s">
        <v>46</v>
      </c>
      <c r="D101" s="17" t="s">
        <v>4</v>
      </c>
      <c r="E101" s="18">
        <v>45910</v>
      </c>
      <c r="F101" s="19">
        <v>9</v>
      </c>
      <c r="H101" s="20">
        <v>1</v>
      </c>
      <c r="I101" s="21">
        <v>54131.560000000012</v>
      </c>
      <c r="J101" s="21">
        <v>154</v>
      </c>
      <c r="K101" s="21">
        <v>154</v>
      </c>
      <c r="L101" s="21">
        <v>62389.240000000005</v>
      </c>
      <c r="M101" s="21">
        <v>3000000</v>
      </c>
      <c r="N101" s="22">
        <f t="shared" si="2"/>
        <v>1.1525483470271316</v>
      </c>
      <c r="O101" s="22">
        <f t="shared" si="3"/>
        <v>3.0800000000000001E-2</v>
      </c>
    </row>
    <row r="102" spans="1:15" x14ac:dyDescent="0.3">
      <c r="A102" s="1" t="s">
        <v>197</v>
      </c>
      <c r="B102" s="16" t="s">
        <v>431</v>
      </c>
      <c r="C102" s="17" t="s">
        <v>46</v>
      </c>
      <c r="D102" s="17" t="s">
        <v>4</v>
      </c>
      <c r="E102" s="18">
        <v>46063</v>
      </c>
      <c r="F102" s="19" t="s">
        <v>432</v>
      </c>
      <c r="H102" s="20">
        <v>1</v>
      </c>
      <c r="I102" s="21">
        <v>343839.63000000006</v>
      </c>
      <c r="J102" s="21">
        <v>1052</v>
      </c>
      <c r="K102" s="21">
        <v>1052</v>
      </c>
      <c r="L102" s="21">
        <v>0</v>
      </c>
      <c r="M102" s="21">
        <v>3000000</v>
      </c>
      <c r="N102" s="22">
        <f t="shared" si="2"/>
        <v>0</v>
      </c>
      <c r="O102" s="22">
        <f t="shared" si="3"/>
        <v>0.2104</v>
      </c>
    </row>
    <row r="103" spans="1:15" x14ac:dyDescent="0.3">
      <c r="A103" s="1" t="s">
        <v>251</v>
      </c>
      <c r="B103" s="16" t="s">
        <v>454</v>
      </c>
      <c r="C103" s="17" t="s">
        <v>46</v>
      </c>
      <c r="D103" s="17" t="s">
        <v>4</v>
      </c>
      <c r="E103" s="18">
        <v>46115</v>
      </c>
      <c r="F103" s="19" t="s">
        <v>530</v>
      </c>
      <c r="H103" s="20">
        <v>1</v>
      </c>
      <c r="I103" s="21">
        <v>11418.09</v>
      </c>
      <c r="J103" s="21">
        <v>32</v>
      </c>
      <c r="K103" s="21">
        <v>32</v>
      </c>
      <c r="L103" s="21">
        <v>8823.4</v>
      </c>
      <c r="M103" s="21">
        <v>3000000</v>
      </c>
      <c r="N103" s="22">
        <f t="shared" si="2"/>
        <v>0.77275621404280392</v>
      </c>
      <c r="O103" s="22">
        <f t="shared" si="3"/>
        <v>6.4000000000000003E-3</v>
      </c>
    </row>
    <row r="104" spans="1:15" x14ac:dyDescent="0.3">
      <c r="A104" s="1" t="s">
        <v>23</v>
      </c>
      <c r="B104" s="16" t="s">
        <v>440</v>
      </c>
      <c r="C104" s="17" t="s">
        <v>46</v>
      </c>
      <c r="D104" s="17" t="s">
        <v>4</v>
      </c>
      <c r="E104" s="18">
        <v>46092</v>
      </c>
      <c r="F104" s="19" t="s">
        <v>435</v>
      </c>
      <c r="H104" s="20">
        <v>1</v>
      </c>
      <c r="I104" s="21">
        <v>32187.08</v>
      </c>
      <c r="J104" s="21">
        <v>104</v>
      </c>
      <c r="K104" s="21">
        <v>104</v>
      </c>
      <c r="L104" s="21">
        <v>0</v>
      </c>
      <c r="M104" s="21">
        <v>3000000</v>
      </c>
      <c r="N104" s="22">
        <f t="shared" si="2"/>
        <v>0</v>
      </c>
      <c r="O104" s="22">
        <f t="shared" si="3"/>
        <v>2.0799999999999999E-2</v>
      </c>
    </row>
    <row r="105" spans="1:15" x14ac:dyDescent="0.3">
      <c r="A105" s="1" t="s">
        <v>215</v>
      </c>
      <c r="B105" s="16" t="s">
        <v>285</v>
      </c>
      <c r="C105" s="17" t="s">
        <v>46</v>
      </c>
      <c r="D105" s="17" t="s">
        <v>4</v>
      </c>
      <c r="E105" s="18">
        <v>45796</v>
      </c>
      <c r="F105" s="19">
        <v>5</v>
      </c>
      <c r="H105" s="20">
        <v>1</v>
      </c>
      <c r="I105" s="21">
        <v>766539.5399999998</v>
      </c>
      <c r="J105" s="21">
        <v>2322</v>
      </c>
      <c r="K105" s="21">
        <v>2320</v>
      </c>
      <c r="L105" s="21">
        <v>733158.08000000007</v>
      </c>
      <c r="M105" s="21">
        <v>3000000</v>
      </c>
      <c r="N105" s="22">
        <f t="shared" si="2"/>
        <v>0.9564517441592123</v>
      </c>
      <c r="O105" s="22">
        <f t="shared" si="3"/>
        <v>0.46400000000000002</v>
      </c>
    </row>
    <row r="106" spans="1:15" x14ac:dyDescent="0.3">
      <c r="A106" s="1" t="s">
        <v>143</v>
      </c>
      <c r="B106" s="16" t="s">
        <v>419</v>
      </c>
      <c r="C106" s="17" t="s">
        <v>46</v>
      </c>
      <c r="D106" s="17" t="s">
        <v>4</v>
      </c>
      <c r="E106" s="18">
        <v>45959</v>
      </c>
      <c r="F106" s="19">
        <v>10</v>
      </c>
      <c r="H106" s="20">
        <v>1</v>
      </c>
      <c r="I106" s="21">
        <v>609117.85000000033</v>
      </c>
      <c r="J106" s="21">
        <v>1812</v>
      </c>
      <c r="K106" s="21">
        <v>1812</v>
      </c>
      <c r="L106" s="21">
        <v>586448.92999999993</v>
      </c>
      <c r="M106" s="21">
        <v>3000000</v>
      </c>
      <c r="N106" s="22">
        <f t="shared" si="2"/>
        <v>0.96278401626220544</v>
      </c>
      <c r="O106" s="22">
        <f t="shared" si="3"/>
        <v>0.3624</v>
      </c>
    </row>
    <row r="107" spans="1:15" x14ac:dyDescent="0.3">
      <c r="A107" s="1" t="s">
        <v>99</v>
      </c>
      <c r="B107" s="16" t="s">
        <v>346</v>
      </c>
      <c r="C107" s="17" t="s">
        <v>46</v>
      </c>
      <c r="D107" s="17" t="s">
        <v>18</v>
      </c>
      <c r="E107" s="18">
        <v>45827</v>
      </c>
      <c r="F107" s="19">
        <v>6</v>
      </c>
      <c r="H107" s="20">
        <v>1</v>
      </c>
      <c r="I107" s="21">
        <v>1207672.629999998</v>
      </c>
      <c r="J107" s="21">
        <v>3152</v>
      </c>
      <c r="K107" s="21">
        <v>3152</v>
      </c>
      <c r="L107" s="21">
        <v>1224773.5</v>
      </c>
      <c r="M107" s="21">
        <v>6000000</v>
      </c>
      <c r="N107" s="22">
        <f t="shared" si="2"/>
        <v>1.0141601867718091</v>
      </c>
      <c r="O107" s="22">
        <f t="shared" si="3"/>
        <v>0.21013333333333334</v>
      </c>
    </row>
    <row r="108" spans="1:15" x14ac:dyDescent="0.3">
      <c r="A108" s="1" t="s">
        <v>57</v>
      </c>
      <c r="B108" s="16" t="s">
        <v>252</v>
      </c>
      <c r="C108" s="17" t="s">
        <v>46</v>
      </c>
      <c r="D108" s="17" t="s">
        <v>4</v>
      </c>
      <c r="E108" s="18">
        <v>45797</v>
      </c>
      <c r="F108" s="19">
        <v>5</v>
      </c>
      <c r="H108" s="20">
        <v>1</v>
      </c>
      <c r="I108" s="21">
        <v>1893833.2200000025</v>
      </c>
      <c r="J108" s="21">
        <v>5795</v>
      </c>
      <c r="K108" s="21">
        <v>5198</v>
      </c>
      <c r="L108" s="21">
        <v>2015100.0100000002</v>
      </c>
      <c r="M108" s="21">
        <v>3000000</v>
      </c>
      <c r="N108" s="22">
        <f t="shared" si="2"/>
        <v>1.064032454769168</v>
      </c>
      <c r="O108" s="22">
        <f t="shared" si="3"/>
        <v>1.0396000000000001</v>
      </c>
    </row>
    <row r="109" spans="1:15" x14ac:dyDescent="0.3">
      <c r="B109" s="16" t="s">
        <v>48</v>
      </c>
      <c r="C109" s="17" t="s">
        <v>46</v>
      </c>
      <c r="D109" s="17" t="s">
        <v>4</v>
      </c>
      <c r="E109" s="18">
        <v>45728</v>
      </c>
      <c r="F109" s="19">
        <v>3</v>
      </c>
      <c r="H109" s="20">
        <v>1</v>
      </c>
      <c r="I109" s="21">
        <v>2654867.6200000127</v>
      </c>
      <c r="J109" s="21">
        <v>8719</v>
      </c>
      <c r="K109" s="21">
        <v>7611</v>
      </c>
      <c r="L109" s="21">
        <v>3000000</v>
      </c>
      <c r="M109" s="21">
        <v>3000000</v>
      </c>
      <c r="N109" s="22">
        <f t="shared" si="2"/>
        <v>1.1299998453406825</v>
      </c>
      <c r="O109" s="22">
        <f t="shared" si="3"/>
        <v>1.5222</v>
      </c>
    </row>
    <row r="110" spans="1:15" x14ac:dyDescent="0.3">
      <c r="A110" s="1" t="s">
        <v>47</v>
      </c>
      <c r="B110" s="16" t="s">
        <v>273</v>
      </c>
      <c r="C110" s="17" t="s">
        <v>46</v>
      </c>
      <c r="D110" s="17" t="s">
        <v>18</v>
      </c>
      <c r="E110" s="18">
        <v>45804</v>
      </c>
      <c r="F110" s="19">
        <v>5</v>
      </c>
      <c r="H110" s="20">
        <v>1</v>
      </c>
      <c r="I110" s="21">
        <v>5688997.0099999998</v>
      </c>
      <c r="J110" s="21">
        <v>18585</v>
      </c>
      <c r="K110" s="21">
        <v>15743</v>
      </c>
      <c r="L110" s="21">
        <v>6428565.6699999999</v>
      </c>
      <c r="M110" s="21">
        <v>6428565.6699999999</v>
      </c>
      <c r="N110" s="22">
        <f t="shared" si="2"/>
        <v>1.129999832782475</v>
      </c>
      <c r="O110" s="22">
        <f t="shared" si="3"/>
        <v>1.0495333333333334</v>
      </c>
    </row>
    <row r="111" spans="1:15" x14ac:dyDescent="0.3">
      <c r="A111" s="1" t="s">
        <v>272</v>
      </c>
      <c r="B111" s="16" t="s">
        <v>434</v>
      </c>
      <c r="C111" s="17" t="s">
        <v>46</v>
      </c>
      <c r="D111" s="17" t="s">
        <v>11</v>
      </c>
      <c r="E111" s="18">
        <v>46086</v>
      </c>
      <c r="F111" s="19" t="s">
        <v>435</v>
      </c>
      <c r="H111" s="20">
        <v>1</v>
      </c>
      <c r="I111" s="21">
        <v>3471915.8100000052</v>
      </c>
      <c r="J111" s="21">
        <v>12279</v>
      </c>
      <c r="K111" s="21">
        <v>10690</v>
      </c>
      <c r="L111" s="21">
        <v>2700000</v>
      </c>
      <c r="M111" s="21">
        <v>9000000</v>
      </c>
      <c r="N111" s="22">
        <f t="shared" si="2"/>
        <v>0.77766862670555248</v>
      </c>
      <c r="O111" s="22">
        <f t="shared" si="3"/>
        <v>0.42759999999999998</v>
      </c>
    </row>
    <row r="112" spans="1:15" x14ac:dyDescent="0.3">
      <c r="B112" s="16" t="s">
        <v>81</v>
      </c>
      <c r="C112" s="17" t="s">
        <v>46</v>
      </c>
      <c r="D112" s="17" t="s">
        <v>4</v>
      </c>
      <c r="E112" s="18">
        <v>45741</v>
      </c>
      <c r="F112" s="19">
        <v>3</v>
      </c>
      <c r="H112" s="20">
        <v>1</v>
      </c>
      <c r="I112" s="21">
        <v>1605921.1800000006</v>
      </c>
      <c r="J112" s="21">
        <v>4196</v>
      </c>
      <c r="K112" s="21">
        <v>4186</v>
      </c>
      <c r="L112" s="21">
        <v>1685580.3000000003</v>
      </c>
      <c r="M112" s="21">
        <v>3050000</v>
      </c>
      <c r="N112" s="22">
        <f t="shared" si="2"/>
        <v>1.0496033809081462</v>
      </c>
      <c r="O112" s="22">
        <f t="shared" si="3"/>
        <v>0.83720000000000006</v>
      </c>
    </row>
    <row r="113" spans="1:15" x14ac:dyDescent="0.3">
      <c r="A113" s="1" t="s">
        <v>80</v>
      </c>
      <c r="B113" s="16" t="s">
        <v>267</v>
      </c>
      <c r="C113" s="17" t="s">
        <v>46</v>
      </c>
      <c r="D113" s="17" t="s">
        <v>18</v>
      </c>
      <c r="E113" s="18">
        <v>45796</v>
      </c>
      <c r="F113" s="19">
        <v>5</v>
      </c>
      <c r="H113" s="20">
        <v>1</v>
      </c>
      <c r="I113" s="21">
        <v>4818049.4900000021</v>
      </c>
      <c r="J113" s="21">
        <v>11117</v>
      </c>
      <c r="K113" s="21">
        <v>11097</v>
      </c>
      <c r="L113" s="21">
        <v>4847049.7</v>
      </c>
      <c r="M113" s="21">
        <v>6250000</v>
      </c>
      <c r="N113" s="22">
        <f t="shared" si="2"/>
        <v>1.0060190768194035</v>
      </c>
      <c r="O113" s="22">
        <f t="shared" si="3"/>
        <v>0.73980000000000001</v>
      </c>
    </row>
    <row r="114" spans="1:15" x14ac:dyDescent="0.3">
      <c r="A114" s="1" t="s">
        <v>266</v>
      </c>
      <c r="B114" s="16" t="s">
        <v>367</v>
      </c>
      <c r="C114" s="17" t="s">
        <v>46</v>
      </c>
      <c r="D114" s="17" t="s">
        <v>4</v>
      </c>
      <c r="E114" s="18">
        <v>45868</v>
      </c>
      <c r="F114" s="19">
        <v>7</v>
      </c>
      <c r="H114" s="20">
        <v>1</v>
      </c>
      <c r="I114" s="21">
        <v>1699247.7199999993</v>
      </c>
      <c r="J114" s="21">
        <v>5341</v>
      </c>
      <c r="K114" s="21">
        <v>4955</v>
      </c>
      <c r="L114" s="21">
        <v>1364692.78</v>
      </c>
      <c r="M114" s="21">
        <v>3000000</v>
      </c>
      <c r="N114" s="22">
        <f t="shared" si="2"/>
        <v>0.80311585176056655</v>
      </c>
      <c r="O114" s="22">
        <f t="shared" si="3"/>
        <v>0.99099999999999999</v>
      </c>
    </row>
    <row r="115" spans="1:15" x14ac:dyDescent="0.3">
      <c r="A115" s="1" t="s">
        <v>366</v>
      </c>
      <c r="B115" s="16" t="s">
        <v>45</v>
      </c>
      <c r="C115" s="17" t="s">
        <v>46</v>
      </c>
      <c r="D115" s="17" t="s">
        <v>4</v>
      </c>
      <c r="E115" s="18">
        <v>45743</v>
      </c>
      <c r="F115" s="19">
        <v>3</v>
      </c>
      <c r="H115" s="20">
        <v>1</v>
      </c>
      <c r="I115" s="21">
        <v>2655021.6899999985</v>
      </c>
      <c r="J115" s="21">
        <v>8503</v>
      </c>
      <c r="K115" s="21">
        <v>7661</v>
      </c>
      <c r="L115" s="21">
        <v>3000000</v>
      </c>
      <c r="M115" s="21">
        <v>3000000</v>
      </c>
      <c r="N115" s="22">
        <f t="shared" si="2"/>
        <v>1.1299342718364014</v>
      </c>
      <c r="O115" s="22">
        <f t="shared" si="3"/>
        <v>1.5322</v>
      </c>
    </row>
    <row r="116" spans="1:15" x14ac:dyDescent="0.3">
      <c r="A116" s="1" t="s">
        <v>118</v>
      </c>
      <c r="B116" s="16" t="s">
        <v>401</v>
      </c>
      <c r="C116" s="17" t="s">
        <v>46</v>
      </c>
      <c r="D116" s="17" t="s">
        <v>18</v>
      </c>
      <c r="E116" s="18">
        <v>45889</v>
      </c>
      <c r="F116" s="19">
        <v>8</v>
      </c>
      <c r="H116" s="20">
        <v>1</v>
      </c>
      <c r="I116" s="21">
        <v>3629072.7300000107</v>
      </c>
      <c r="J116" s="21">
        <v>11062</v>
      </c>
      <c r="K116" s="21">
        <v>9842</v>
      </c>
      <c r="L116" s="21">
        <v>3986362.45</v>
      </c>
      <c r="M116" s="21">
        <v>6000000</v>
      </c>
      <c r="N116" s="22">
        <f t="shared" si="2"/>
        <v>1.0984520693251547</v>
      </c>
      <c r="O116" s="22">
        <f t="shared" si="3"/>
        <v>0.65613333333333335</v>
      </c>
    </row>
    <row r="117" spans="1:15" x14ac:dyDescent="0.3">
      <c r="A117" s="1" t="s">
        <v>44</v>
      </c>
      <c r="B117" s="16" t="s">
        <v>348</v>
      </c>
      <c r="C117" s="17" t="s">
        <v>46</v>
      </c>
      <c r="D117" s="17" t="s">
        <v>4</v>
      </c>
      <c r="E117" s="18">
        <v>45832</v>
      </c>
      <c r="F117" s="19">
        <v>6</v>
      </c>
      <c r="H117" s="20">
        <v>1</v>
      </c>
      <c r="I117" s="21">
        <v>403943.82000000007</v>
      </c>
      <c r="J117" s="21">
        <v>1148</v>
      </c>
      <c r="K117" s="21">
        <v>1128</v>
      </c>
      <c r="L117" s="21">
        <v>394153.68000000005</v>
      </c>
      <c r="M117" s="21">
        <v>3000000</v>
      </c>
      <c r="N117" s="22">
        <f t="shared" si="2"/>
        <v>0.97576360990001032</v>
      </c>
      <c r="O117" s="22">
        <f t="shared" si="3"/>
        <v>0.22559999999999999</v>
      </c>
    </row>
    <row r="118" spans="1:15" x14ac:dyDescent="0.3">
      <c r="A118" s="1" t="s">
        <v>400</v>
      </c>
      <c r="B118" s="16" t="s">
        <v>393</v>
      </c>
      <c r="C118" s="17" t="s">
        <v>46</v>
      </c>
      <c r="D118" s="17" t="s">
        <v>4</v>
      </c>
      <c r="E118" s="18">
        <v>45855</v>
      </c>
      <c r="F118" s="19">
        <v>7</v>
      </c>
      <c r="H118" s="20">
        <v>1</v>
      </c>
      <c r="I118" s="21">
        <v>32489.35</v>
      </c>
      <c r="J118" s="21">
        <v>55</v>
      </c>
      <c r="K118" s="21">
        <v>55</v>
      </c>
      <c r="L118" s="21">
        <v>25460.52</v>
      </c>
      <c r="M118" s="21">
        <v>3000000</v>
      </c>
      <c r="N118" s="22">
        <f t="shared" si="2"/>
        <v>0.78365741389101351</v>
      </c>
      <c r="O118" s="22">
        <f t="shared" si="3"/>
        <v>1.0999999999999999E-2</v>
      </c>
    </row>
    <row r="119" spans="1:15" x14ac:dyDescent="0.3">
      <c r="A119" s="1" t="s">
        <v>25</v>
      </c>
      <c r="B119" s="16" t="s">
        <v>291</v>
      </c>
      <c r="C119" s="17" t="s">
        <v>46</v>
      </c>
      <c r="D119" s="17" t="s">
        <v>4</v>
      </c>
      <c r="E119" s="18">
        <v>45785</v>
      </c>
      <c r="F119" s="19">
        <v>5</v>
      </c>
      <c r="H119" s="20">
        <v>1</v>
      </c>
      <c r="I119" s="21">
        <v>448711.32</v>
      </c>
      <c r="J119" s="21">
        <v>1374</v>
      </c>
      <c r="K119" s="21">
        <v>1374</v>
      </c>
      <c r="L119" s="21">
        <v>378419.62</v>
      </c>
      <c r="M119" s="21">
        <v>3000000</v>
      </c>
      <c r="N119" s="22">
        <f t="shared" si="2"/>
        <v>0.84334761155568794</v>
      </c>
      <c r="O119" s="22">
        <f t="shared" si="3"/>
        <v>0.27479999999999999</v>
      </c>
    </row>
    <row r="120" spans="1:15" x14ac:dyDescent="0.3">
      <c r="A120" s="1" t="s">
        <v>166</v>
      </c>
      <c r="B120" s="16" t="s">
        <v>309</v>
      </c>
      <c r="C120" s="17" t="s">
        <v>46</v>
      </c>
      <c r="D120" s="17" t="s">
        <v>4</v>
      </c>
      <c r="E120" s="18">
        <v>45785</v>
      </c>
      <c r="F120" s="19">
        <v>5</v>
      </c>
      <c r="H120" s="20">
        <v>1</v>
      </c>
      <c r="I120" s="21">
        <v>18362.38</v>
      </c>
      <c r="J120" s="21">
        <v>56</v>
      </c>
      <c r="K120" s="21">
        <v>56</v>
      </c>
      <c r="L120" s="21">
        <v>20749.500000000004</v>
      </c>
      <c r="M120" s="21">
        <v>3000000</v>
      </c>
      <c r="N120" s="22">
        <f t="shared" si="2"/>
        <v>1.130000577267217</v>
      </c>
      <c r="O120" s="22">
        <f t="shared" si="3"/>
        <v>1.12E-2</v>
      </c>
    </row>
    <row r="121" spans="1:15" x14ac:dyDescent="0.3">
      <c r="A121" s="1" t="s">
        <v>108</v>
      </c>
      <c r="B121" s="16" t="s">
        <v>387</v>
      </c>
      <c r="C121" s="17" t="s">
        <v>46</v>
      </c>
      <c r="D121" s="17" t="s">
        <v>4</v>
      </c>
      <c r="E121" s="18">
        <v>45849</v>
      </c>
      <c r="F121" s="19">
        <v>7</v>
      </c>
      <c r="H121" s="20">
        <v>1</v>
      </c>
      <c r="I121" s="21">
        <v>277581.3600000001</v>
      </c>
      <c r="J121" s="21">
        <v>801</v>
      </c>
      <c r="K121" s="21">
        <v>796</v>
      </c>
      <c r="L121" s="21">
        <v>298807.61</v>
      </c>
      <c r="M121" s="21">
        <v>3000000</v>
      </c>
      <c r="N121" s="22">
        <f t="shared" si="2"/>
        <v>1.0764685712325923</v>
      </c>
      <c r="O121" s="22">
        <f t="shared" si="3"/>
        <v>0.15920000000000001</v>
      </c>
    </row>
    <row r="122" spans="1:15" x14ac:dyDescent="0.3">
      <c r="A122" s="1" t="s">
        <v>124</v>
      </c>
      <c r="B122" s="16" t="s">
        <v>340</v>
      </c>
      <c r="C122" s="17" t="s">
        <v>46</v>
      </c>
      <c r="D122" s="17" t="s">
        <v>4</v>
      </c>
      <c r="E122" s="18">
        <v>45833</v>
      </c>
      <c r="F122" s="19">
        <v>6</v>
      </c>
      <c r="H122" s="20">
        <v>1</v>
      </c>
      <c r="I122" s="21">
        <v>498414.18000000005</v>
      </c>
      <c r="J122" s="21">
        <v>1483</v>
      </c>
      <c r="K122" s="21">
        <v>1483</v>
      </c>
      <c r="L122" s="21">
        <v>388227</v>
      </c>
      <c r="M122" s="21">
        <v>3000000</v>
      </c>
      <c r="N122" s="22">
        <f t="shared" si="2"/>
        <v>0.7789244679996864</v>
      </c>
      <c r="O122" s="22">
        <f t="shared" si="3"/>
        <v>0.29659999999999997</v>
      </c>
    </row>
    <row r="123" spans="1:15" x14ac:dyDescent="0.3">
      <c r="A123" s="1" t="s">
        <v>63</v>
      </c>
      <c r="B123" s="16" t="s">
        <v>153</v>
      </c>
      <c r="C123" s="17" t="s">
        <v>46</v>
      </c>
      <c r="D123" s="17" t="s">
        <v>4</v>
      </c>
      <c r="E123" s="18">
        <v>45740</v>
      </c>
      <c r="F123" s="19">
        <v>3</v>
      </c>
      <c r="H123" s="20">
        <v>1</v>
      </c>
      <c r="I123" s="21">
        <v>21000.619999999817</v>
      </c>
      <c r="J123" s="21">
        <v>70</v>
      </c>
      <c r="K123" s="21">
        <v>70</v>
      </c>
      <c r="L123" s="21">
        <v>23730.9</v>
      </c>
      <c r="M123" s="21">
        <v>3000000</v>
      </c>
      <c r="N123" s="22">
        <f t="shared" si="2"/>
        <v>1.1300094949577779</v>
      </c>
      <c r="O123" s="22">
        <f t="shared" si="3"/>
        <v>1.4E-2</v>
      </c>
    </row>
    <row r="124" spans="1:15" x14ac:dyDescent="0.3">
      <c r="A124" s="1" t="s">
        <v>364</v>
      </c>
      <c r="B124" s="16" t="s">
        <v>36</v>
      </c>
      <c r="C124" s="17" t="s">
        <v>17</v>
      </c>
      <c r="D124" s="17" t="s">
        <v>18</v>
      </c>
      <c r="E124" s="18">
        <v>45716</v>
      </c>
      <c r="F124" s="19">
        <v>2</v>
      </c>
      <c r="H124" s="20">
        <v>1</v>
      </c>
      <c r="I124" s="21">
        <v>4014941.310000001</v>
      </c>
      <c r="J124" s="21">
        <v>10829</v>
      </c>
      <c r="K124" s="21">
        <v>10786</v>
      </c>
      <c r="L124" s="21">
        <v>4336485.0399999991</v>
      </c>
      <c r="M124" s="21">
        <v>7000000</v>
      </c>
      <c r="N124" s="22">
        <f t="shared" si="2"/>
        <v>1.0800867821402844</v>
      </c>
      <c r="O124" s="22">
        <f t="shared" si="3"/>
        <v>0.71906666666666663</v>
      </c>
    </row>
    <row r="125" spans="1:15" x14ac:dyDescent="0.3">
      <c r="A125" s="1" t="s">
        <v>211</v>
      </c>
      <c r="B125" s="16" t="s">
        <v>533</v>
      </c>
      <c r="C125" s="17" t="s">
        <v>17</v>
      </c>
      <c r="D125" s="17" t="s">
        <v>4</v>
      </c>
      <c r="E125" s="18">
        <v>46140</v>
      </c>
      <c r="F125" s="19" t="s">
        <v>530</v>
      </c>
      <c r="H125" s="20">
        <v>1</v>
      </c>
      <c r="I125" s="21">
        <v>146517.89000000004</v>
      </c>
      <c r="J125" s="21">
        <v>453</v>
      </c>
      <c r="K125" s="21">
        <v>453</v>
      </c>
      <c r="L125" s="21">
        <v>0</v>
      </c>
      <c r="M125" s="21">
        <v>3000000</v>
      </c>
      <c r="N125" s="22">
        <f t="shared" si="2"/>
        <v>0</v>
      </c>
      <c r="O125" s="22">
        <f t="shared" si="3"/>
        <v>9.06E-2</v>
      </c>
    </row>
    <row r="126" spans="1:15" x14ac:dyDescent="0.3">
      <c r="B126" s="16" t="s">
        <v>455</v>
      </c>
      <c r="C126" s="17" t="s">
        <v>17</v>
      </c>
      <c r="D126" s="17" t="s">
        <v>11</v>
      </c>
      <c r="E126" s="18">
        <v>46115</v>
      </c>
      <c r="F126" s="19" t="s">
        <v>530</v>
      </c>
      <c r="H126" s="20">
        <v>1</v>
      </c>
      <c r="I126" s="21">
        <v>859189.4500000003</v>
      </c>
      <c r="J126" s="21">
        <v>2552</v>
      </c>
      <c r="K126" s="21">
        <v>2552</v>
      </c>
      <c r="L126" s="21">
        <v>400000</v>
      </c>
      <c r="M126" s="21">
        <v>9250000</v>
      </c>
      <c r="N126" s="22">
        <f t="shared" si="2"/>
        <v>0.46555506471826424</v>
      </c>
      <c r="O126" s="22">
        <f t="shared" si="3"/>
        <v>0.10208</v>
      </c>
    </row>
    <row r="127" spans="1:15" x14ac:dyDescent="0.3">
      <c r="A127" s="1" t="s">
        <v>351</v>
      </c>
      <c r="B127" s="16" t="s">
        <v>16</v>
      </c>
      <c r="C127" s="17" t="s">
        <v>17</v>
      </c>
      <c r="D127" s="17" t="s">
        <v>18</v>
      </c>
      <c r="E127" s="18">
        <v>45709</v>
      </c>
      <c r="F127" s="19">
        <v>2</v>
      </c>
      <c r="H127" s="20">
        <v>1</v>
      </c>
      <c r="I127" s="21">
        <v>7325586.1099999957</v>
      </c>
      <c r="J127" s="21">
        <v>19427</v>
      </c>
      <c r="K127" s="21">
        <v>17516</v>
      </c>
      <c r="L127" s="21">
        <v>7629580.5700000003</v>
      </c>
      <c r="M127" s="21">
        <v>12800000</v>
      </c>
      <c r="N127" s="22">
        <f t="shared" si="2"/>
        <v>1.0414976297370975</v>
      </c>
      <c r="O127" s="22">
        <f t="shared" si="3"/>
        <v>1.1677333333333333</v>
      </c>
    </row>
    <row r="128" spans="1:15" x14ac:dyDescent="0.3">
      <c r="A128" s="1" t="s">
        <v>195</v>
      </c>
      <c r="B128" s="16" t="s">
        <v>26</v>
      </c>
      <c r="C128" s="17" t="s">
        <v>17</v>
      </c>
      <c r="D128" s="17" t="s">
        <v>4</v>
      </c>
      <c r="E128" s="18">
        <v>45709</v>
      </c>
      <c r="F128" s="19">
        <v>2</v>
      </c>
      <c r="G128" s="18">
        <v>46309</v>
      </c>
      <c r="H128" s="20">
        <v>2</v>
      </c>
      <c r="I128" s="21">
        <v>5199074.0199999902</v>
      </c>
      <c r="J128" s="21">
        <v>11166</v>
      </c>
      <c r="K128" s="21">
        <v>11134</v>
      </c>
      <c r="L128" s="21">
        <v>4895693.28</v>
      </c>
      <c r="M128" s="21">
        <v>7600000</v>
      </c>
      <c r="N128" s="22">
        <f t="shared" si="2"/>
        <v>0.94164715893004525</v>
      </c>
      <c r="O128" s="22">
        <f t="shared" si="3"/>
        <v>1.1133999999999999</v>
      </c>
    </row>
    <row r="129" spans="1:15" x14ac:dyDescent="0.3">
      <c r="B129" s="16" t="s">
        <v>167</v>
      </c>
      <c r="C129" s="17" t="s">
        <v>17</v>
      </c>
      <c r="D129" s="17" t="s">
        <v>4</v>
      </c>
      <c r="E129" s="18">
        <v>45777</v>
      </c>
      <c r="F129" s="19">
        <v>4</v>
      </c>
      <c r="H129" s="20">
        <v>1</v>
      </c>
      <c r="I129" s="21">
        <v>2547464.5000000005</v>
      </c>
      <c r="J129" s="21">
        <v>7674</v>
      </c>
      <c r="K129" s="21">
        <v>7674</v>
      </c>
      <c r="L129" s="21">
        <v>2620003.9300000002</v>
      </c>
      <c r="M129" s="21">
        <v>6000000</v>
      </c>
      <c r="N129" s="22">
        <f t="shared" si="2"/>
        <v>1.0284751485251313</v>
      </c>
      <c r="O129" s="22">
        <f t="shared" si="3"/>
        <v>1.5347999999999999</v>
      </c>
    </row>
    <row r="130" spans="1:15" x14ac:dyDescent="0.3">
      <c r="A130" s="1" t="s">
        <v>140</v>
      </c>
      <c r="B130" s="16" t="s">
        <v>371</v>
      </c>
      <c r="C130" s="17" t="s">
        <v>17</v>
      </c>
      <c r="D130" s="17" t="s">
        <v>4</v>
      </c>
      <c r="E130" s="18">
        <v>45854</v>
      </c>
      <c r="F130" s="19">
        <v>7</v>
      </c>
      <c r="H130" s="20">
        <v>1</v>
      </c>
      <c r="I130" s="21">
        <v>1334739.1499999999</v>
      </c>
      <c r="J130" s="21">
        <v>3647</v>
      </c>
      <c r="K130" s="21">
        <v>3644</v>
      </c>
      <c r="L130" s="21">
        <v>1414201.7300000002</v>
      </c>
      <c r="M130" s="21">
        <v>2203119.31</v>
      </c>
      <c r="N130" s="22">
        <f t="shared" si="2"/>
        <v>1.0595341644095779</v>
      </c>
      <c r="O130" s="22">
        <f t="shared" si="3"/>
        <v>0.7288</v>
      </c>
    </row>
    <row r="131" spans="1:15" x14ac:dyDescent="0.3">
      <c r="A131" s="1" t="s">
        <v>213</v>
      </c>
      <c r="B131" s="16" t="s">
        <v>316</v>
      </c>
      <c r="C131" s="17" t="s">
        <v>17</v>
      </c>
      <c r="D131" s="17" t="s">
        <v>4</v>
      </c>
      <c r="E131" s="18">
        <v>45828</v>
      </c>
      <c r="F131" s="19">
        <v>6</v>
      </c>
      <c r="H131" s="20">
        <v>1</v>
      </c>
      <c r="I131" s="21">
        <v>1988133.1800000016</v>
      </c>
      <c r="J131" s="21">
        <v>6324</v>
      </c>
      <c r="K131" s="21">
        <v>5727</v>
      </c>
      <c r="L131" s="21">
        <v>2170442.34</v>
      </c>
      <c r="M131" s="21">
        <v>3000000</v>
      </c>
      <c r="N131" s="22">
        <f t="shared" si="2"/>
        <v>1.0916986657805279</v>
      </c>
      <c r="O131" s="22">
        <f t="shared" si="3"/>
        <v>1.1454</v>
      </c>
    </row>
    <row r="132" spans="1:15" x14ac:dyDescent="0.3">
      <c r="B132" s="16" t="s">
        <v>363</v>
      </c>
      <c r="C132" s="17" t="s">
        <v>17</v>
      </c>
      <c r="D132" s="17" t="s">
        <v>4</v>
      </c>
      <c r="E132" s="18">
        <v>45842</v>
      </c>
      <c r="F132" s="19">
        <v>7</v>
      </c>
      <c r="H132" s="20">
        <v>1</v>
      </c>
      <c r="I132" s="21">
        <v>1800301.8499999989</v>
      </c>
      <c r="J132" s="21">
        <v>5581</v>
      </c>
      <c r="K132" s="21">
        <v>5002</v>
      </c>
      <c r="L132" s="21">
        <v>2030904.9100000001</v>
      </c>
      <c r="M132" s="21">
        <v>3084760.13</v>
      </c>
      <c r="N132" s="22">
        <f t="shared" ref="N132:N167" si="4">IFERROR(L132/I132,"")</f>
        <v>1.1280913309065372</v>
      </c>
      <c r="O132" s="22">
        <f t="shared" ref="O132:O195" si="5">IF(D132="a",K132/25000,IF(D132="b",K132/15000,IF(D132="c",K132/5000)))/H132</f>
        <v>1.0004</v>
      </c>
    </row>
    <row r="133" spans="1:15" x14ac:dyDescent="0.3">
      <c r="A133" s="1" t="s">
        <v>270</v>
      </c>
      <c r="B133" s="16" t="s">
        <v>389</v>
      </c>
      <c r="C133" s="17" t="s">
        <v>39</v>
      </c>
      <c r="D133" s="17" t="s">
        <v>4</v>
      </c>
      <c r="E133" s="18">
        <v>45856</v>
      </c>
      <c r="F133" s="19">
        <v>7</v>
      </c>
      <c r="H133" s="20">
        <v>1</v>
      </c>
      <c r="I133" s="21">
        <v>106547.98000000001</v>
      </c>
      <c r="J133" s="21">
        <v>308</v>
      </c>
      <c r="K133" s="21">
        <v>308</v>
      </c>
      <c r="L133" s="21">
        <v>107409.47</v>
      </c>
      <c r="M133" s="21">
        <v>1850000</v>
      </c>
      <c r="N133" s="22">
        <f t="shared" si="4"/>
        <v>1.0080854653462223</v>
      </c>
      <c r="O133" s="22">
        <f t="shared" si="5"/>
        <v>6.1600000000000002E-2</v>
      </c>
    </row>
    <row r="134" spans="1:15" x14ac:dyDescent="0.3">
      <c r="A134" s="1" t="s">
        <v>148</v>
      </c>
      <c r="B134" s="16" t="s">
        <v>38</v>
      </c>
      <c r="C134" s="17" t="s">
        <v>39</v>
      </c>
      <c r="D134" s="17" t="s">
        <v>4</v>
      </c>
      <c r="E134" s="18">
        <v>45715</v>
      </c>
      <c r="F134" s="19">
        <v>2</v>
      </c>
      <c r="G134" s="18">
        <v>46312</v>
      </c>
      <c r="H134" s="20">
        <v>2</v>
      </c>
      <c r="I134" s="21">
        <v>2509282.7600000021</v>
      </c>
      <c r="J134" s="21">
        <v>6688</v>
      </c>
      <c r="K134" s="21">
        <v>6138</v>
      </c>
      <c r="L134" s="21">
        <v>2753100.9600000004</v>
      </c>
      <c r="M134" s="21">
        <v>3000000</v>
      </c>
      <c r="N134" s="22">
        <f t="shared" si="4"/>
        <v>1.0971664907146608</v>
      </c>
      <c r="O134" s="22">
        <f t="shared" si="5"/>
        <v>0.61380000000000001</v>
      </c>
    </row>
    <row r="135" spans="1:15" x14ac:dyDescent="0.3">
      <c r="A135" s="1" t="s">
        <v>201</v>
      </c>
      <c r="B135" s="16" t="s">
        <v>113</v>
      </c>
      <c r="C135" s="17" t="s">
        <v>39</v>
      </c>
      <c r="D135" s="17" t="s">
        <v>4</v>
      </c>
      <c r="E135" s="18">
        <v>45742</v>
      </c>
      <c r="F135" s="19">
        <v>3</v>
      </c>
      <c r="G135" s="18">
        <v>46472</v>
      </c>
      <c r="H135" s="20">
        <v>2</v>
      </c>
      <c r="I135" s="21">
        <v>2632316.0799999987</v>
      </c>
      <c r="J135" s="21">
        <v>7167</v>
      </c>
      <c r="K135" s="21">
        <v>7139</v>
      </c>
      <c r="L135" s="21">
        <v>2634273.35</v>
      </c>
      <c r="M135" s="21">
        <v>3860000</v>
      </c>
      <c r="N135" s="22">
        <f t="shared" si="4"/>
        <v>1.0007435543227017</v>
      </c>
      <c r="O135" s="22">
        <f t="shared" si="5"/>
        <v>0.71389999999999998</v>
      </c>
    </row>
    <row r="136" spans="1:15" x14ac:dyDescent="0.3">
      <c r="A136" s="1" t="s">
        <v>31</v>
      </c>
      <c r="B136" s="16" t="s">
        <v>385</v>
      </c>
      <c r="C136" s="17" t="s">
        <v>39</v>
      </c>
      <c r="D136" s="17" t="s">
        <v>4</v>
      </c>
      <c r="E136" s="18">
        <v>45839</v>
      </c>
      <c r="F136" s="19">
        <v>7</v>
      </c>
      <c r="H136" s="20">
        <v>1</v>
      </c>
      <c r="I136" s="21">
        <v>362064.66</v>
      </c>
      <c r="J136" s="21">
        <v>1025</v>
      </c>
      <c r="K136" s="21">
        <v>992</v>
      </c>
      <c r="L136" s="21">
        <v>423869.2900000001</v>
      </c>
      <c r="M136" s="21">
        <v>3000000</v>
      </c>
      <c r="N136" s="22"/>
      <c r="O136" s="22">
        <f t="shared" si="5"/>
        <v>0.19839999999999999</v>
      </c>
    </row>
    <row r="137" spans="1:15" x14ac:dyDescent="0.3">
      <c r="B137" s="16" t="s">
        <v>192</v>
      </c>
      <c r="C137" s="17" t="s">
        <v>39</v>
      </c>
      <c r="D137" s="17" t="s">
        <v>18</v>
      </c>
      <c r="E137" s="18">
        <v>45769</v>
      </c>
      <c r="F137" s="19">
        <v>4</v>
      </c>
      <c r="H137" s="20">
        <v>1</v>
      </c>
      <c r="I137" s="21">
        <v>4808439.1699999422</v>
      </c>
      <c r="J137" s="21">
        <v>16425</v>
      </c>
      <c r="K137" s="21">
        <v>14573</v>
      </c>
      <c r="L137" s="21">
        <v>4342920.5999999996</v>
      </c>
      <c r="M137" s="21">
        <v>6000000</v>
      </c>
      <c r="N137" s="22">
        <f t="shared" ref="N137:N200" si="6">IFERROR(L137/I137,"")</f>
        <v>0.90318717705646923</v>
      </c>
      <c r="O137" s="22">
        <f t="shared" si="5"/>
        <v>0.97153333333333336</v>
      </c>
    </row>
    <row r="138" spans="1:15" x14ac:dyDescent="0.3">
      <c r="A138" s="1" t="s">
        <v>325</v>
      </c>
      <c r="B138" s="16" t="s">
        <v>412</v>
      </c>
      <c r="C138" s="17" t="s">
        <v>39</v>
      </c>
      <c r="D138" s="17" t="s">
        <v>18</v>
      </c>
      <c r="E138" s="18">
        <v>45923</v>
      </c>
      <c r="F138" s="19">
        <v>9</v>
      </c>
      <c r="H138" s="20">
        <v>1</v>
      </c>
      <c r="I138" s="21">
        <v>1816587.2600000002</v>
      </c>
      <c r="J138" s="21">
        <v>5148</v>
      </c>
      <c r="K138" s="21">
        <v>5148</v>
      </c>
      <c r="L138" s="21">
        <v>1782078.5599999998</v>
      </c>
      <c r="M138" s="21">
        <v>6060000</v>
      </c>
      <c r="N138" s="22">
        <f t="shared" si="6"/>
        <v>0.98100355498474623</v>
      </c>
      <c r="O138" s="22">
        <f t="shared" si="5"/>
        <v>0.34320000000000001</v>
      </c>
    </row>
    <row r="139" spans="1:15" x14ac:dyDescent="0.3">
      <c r="A139" s="1" t="s">
        <v>207</v>
      </c>
      <c r="B139" s="16" t="s">
        <v>409</v>
      </c>
      <c r="C139" s="17" t="s">
        <v>39</v>
      </c>
      <c r="D139" s="17" t="s">
        <v>4</v>
      </c>
      <c r="E139" s="18">
        <v>45919</v>
      </c>
      <c r="F139" s="19">
        <v>9</v>
      </c>
      <c r="H139" s="20">
        <v>1</v>
      </c>
      <c r="I139" s="21">
        <v>938687.78999999969</v>
      </c>
      <c r="J139" s="21">
        <v>2586</v>
      </c>
      <c r="K139" s="21">
        <v>2586</v>
      </c>
      <c r="L139" s="21">
        <v>929885.8</v>
      </c>
      <c r="M139" s="21">
        <v>3000000</v>
      </c>
      <c r="N139" s="22">
        <f t="shared" si="6"/>
        <v>0.99062309098534285</v>
      </c>
      <c r="O139" s="22">
        <f t="shared" si="5"/>
        <v>0.51719999999999999</v>
      </c>
    </row>
    <row r="140" spans="1:15" x14ac:dyDescent="0.3">
      <c r="B140" s="16" t="s">
        <v>224</v>
      </c>
      <c r="C140" s="17" t="s">
        <v>39</v>
      </c>
      <c r="D140" s="17" t="s">
        <v>4</v>
      </c>
      <c r="E140" s="18">
        <v>45777</v>
      </c>
      <c r="F140" s="19">
        <v>4</v>
      </c>
      <c r="H140" s="20">
        <v>1</v>
      </c>
      <c r="I140" s="21">
        <v>572589.57000000018</v>
      </c>
      <c r="J140" s="21">
        <v>1676</v>
      </c>
      <c r="K140" s="21">
        <v>1676</v>
      </c>
      <c r="L140" s="21">
        <v>639256.13</v>
      </c>
      <c r="M140" s="21">
        <v>3000000</v>
      </c>
      <c r="N140" s="22">
        <f t="shared" si="6"/>
        <v>1.1164299237934072</v>
      </c>
      <c r="O140" s="22">
        <f t="shared" si="5"/>
        <v>0.3352</v>
      </c>
    </row>
    <row r="141" spans="1:15" x14ac:dyDescent="0.3">
      <c r="A141" s="1" t="s">
        <v>181</v>
      </c>
      <c r="B141" s="16" t="s">
        <v>220</v>
      </c>
      <c r="C141" s="17" t="s">
        <v>39</v>
      </c>
      <c r="D141" s="17" t="s">
        <v>4</v>
      </c>
      <c r="E141" s="18">
        <v>45770</v>
      </c>
      <c r="F141" s="19">
        <v>4</v>
      </c>
      <c r="H141" s="20">
        <v>1</v>
      </c>
      <c r="I141" s="21">
        <v>669226.21000000031</v>
      </c>
      <c r="J141" s="21">
        <v>2019</v>
      </c>
      <c r="K141" s="21">
        <v>2018</v>
      </c>
      <c r="L141" s="21">
        <v>702465.03</v>
      </c>
      <c r="M141" s="21">
        <v>3000000</v>
      </c>
      <c r="N141" s="22">
        <f t="shared" si="6"/>
        <v>1.0496675406661071</v>
      </c>
      <c r="O141" s="22">
        <f t="shared" si="5"/>
        <v>0.40360000000000001</v>
      </c>
    </row>
    <row r="142" spans="1:15" x14ac:dyDescent="0.3">
      <c r="A142" s="1" t="s">
        <v>59</v>
      </c>
      <c r="B142" s="16" t="s">
        <v>534</v>
      </c>
      <c r="C142" s="17" t="s">
        <v>39</v>
      </c>
      <c r="D142" s="17" t="s">
        <v>18</v>
      </c>
      <c r="E142" s="18">
        <v>45789</v>
      </c>
      <c r="F142" s="19">
        <v>5</v>
      </c>
      <c r="H142" s="20">
        <v>1</v>
      </c>
      <c r="I142" s="21">
        <v>3561178.9600000051</v>
      </c>
      <c r="J142" s="21">
        <v>12137</v>
      </c>
      <c r="K142" s="21">
        <v>10035</v>
      </c>
      <c r="L142" s="21">
        <v>4009767.2100000004</v>
      </c>
      <c r="M142" s="21">
        <v>6000000</v>
      </c>
      <c r="N142" s="22">
        <f t="shared" si="6"/>
        <v>1.1259662193443922</v>
      </c>
      <c r="O142" s="22">
        <f t="shared" si="5"/>
        <v>0.66900000000000004</v>
      </c>
    </row>
    <row r="143" spans="1:15" x14ac:dyDescent="0.3">
      <c r="A143" s="1" t="s">
        <v>398</v>
      </c>
      <c r="B143" s="16" t="s">
        <v>107</v>
      </c>
      <c r="C143" s="17" t="s">
        <v>39</v>
      </c>
      <c r="D143" s="17" t="s">
        <v>11</v>
      </c>
      <c r="E143" s="18">
        <v>45733</v>
      </c>
      <c r="F143" s="19">
        <v>3</v>
      </c>
      <c r="H143" s="20">
        <v>1</v>
      </c>
      <c r="I143" s="21">
        <v>5602788.870000015</v>
      </c>
      <c r="J143" s="21">
        <v>18571</v>
      </c>
      <c r="K143" s="21">
        <v>16437</v>
      </c>
      <c r="L143" s="21">
        <v>4786320.8099999996</v>
      </c>
      <c r="M143" s="21">
        <v>9000000</v>
      </c>
      <c r="N143" s="22">
        <f t="shared" si="6"/>
        <v>0.8542747051612507</v>
      </c>
      <c r="O143" s="22">
        <f t="shared" si="5"/>
        <v>0.65747999999999995</v>
      </c>
    </row>
    <row r="144" spans="1:15" x14ac:dyDescent="0.3">
      <c r="A144" s="1" t="s">
        <v>327</v>
      </c>
      <c r="B144" s="16" t="s">
        <v>406</v>
      </c>
      <c r="C144" s="17" t="s">
        <v>39</v>
      </c>
      <c r="D144" s="17" t="s">
        <v>4</v>
      </c>
      <c r="E144" s="18">
        <v>45916</v>
      </c>
      <c r="F144" s="19">
        <v>9</v>
      </c>
      <c r="H144" s="20">
        <v>1</v>
      </c>
      <c r="I144" s="21">
        <v>1898440.0799999966</v>
      </c>
      <c r="J144" s="21">
        <v>5740</v>
      </c>
      <c r="K144" s="21">
        <v>5151</v>
      </c>
      <c r="L144" s="21">
        <v>2104713.64</v>
      </c>
      <c r="M144" s="21">
        <v>3000000</v>
      </c>
      <c r="N144" s="22">
        <f t="shared" si="6"/>
        <v>1.1086542378519546</v>
      </c>
      <c r="O144" s="22">
        <f t="shared" si="5"/>
        <v>1.0302</v>
      </c>
    </row>
    <row r="145" spans="1:15" x14ac:dyDescent="0.3">
      <c r="A145" s="1" t="s">
        <v>61</v>
      </c>
      <c r="B145" s="16" t="s">
        <v>287</v>
      </c>
      <c r="C145" s="17" t="s">
        <v>39</v>
      </c>
      <c r="D145" s="17" t="s">
        <v>4</v>
      </c>
      <c r="E145" s="18">
        <v>45799</v>
      </c>
      <c r="F145" s="19">
        <v>5</v>
      </c>
      <c r="H145" s="20">
        <v>1</v>
      </c>
      <c r="I145" s="21">
        <v>591259.46000000124</v>
      </c>
      <c r="J145" s="21">
        <v>1678</v>
      </c>
      <c r="K145" s="21">
        <v>1678</v>
      </c>
      <c r="L145" s="21">
        <v>607422.88</v>
      </c>
      <c r="M145" s="21">
        <v>3000000</v>
      </c>
      <c r="N145" s="22">
        <f t="shared" si="6"/>
        <v>1.0273372708489075</v>
      </c>
      <c r="O145" s="22">
        <f t="shared" si="5"/>
        <v>0.33560000000000001</v>
      </c>
    </row>
    <row r="146" spans="1:15" x14ac:dyDescent="0.3">
      <c r="A146" s="1" t="s">
        <v>199</v>
      </c>
      <c r="B146" s="16" t="s">
        <v>228</v>
      </c>
      <c r="C146" s="17" t="s">
        <v>39</v>
      </c>
      <c r="D146" s="17" t="s">
        <v>4</v>
      </c>
      <c r="E146" s="18">
        <v>45772</v>
      </c>
      <c r="F146" s="19">
        <v>4</v>
      </c>
      <c r="H146" s="20">
        <v>1</v>
      </c>
      <c r="I146" s="21">
        <v>509146.16999999975</v>
      </c>
      <c r="J146" s="21">
        <v>1163</v>
      </c>
      <c r="K146" s="21">
        <v>1163</v>
      </c>
      <c r="L146" s="21">
        <v>574193.77</v>
      </c>
      <c r="M146" s="21">
        <v>3000000</v>
      </c>
      <c r="N146" s="22">
        <f t="shared" si="6"/>
        <v>1.1277582035037212</v>
      </c>
      <c r="O146" s="22">
        <f t="shared" si="5"/>
        <v>0.2326</v>
      </c>
    </row>
    <row r="147" spans="1:15" x14ac:dyDescent="0.3">
      <c r="A147" s="1" t="s">
        <v>221</v>
      </c>
      <c r="B147" s="16" t="s">
        <v>98</v>
      </c>
      <c r="C147" s="17" t="s">
        <v>3</v>
      </c>
      <c r="D147" s="17" t="s">
        <v>18</v>
      </c>
      <c r="E147" s="18">
        <v>45722</v>
      </c>
      <c r="F147" s="19">
        <v>3</v>
      </c>
      <c r="H147" s="20">
        <v>1</v>
      </c>
      <c r="I147" s="21">
        <v>3962448.5600000042</v>
      </c>
      <c r="J147" s="21">
        <v>13631</v>
      </c>
      <c r="K147" s="21">
        <v>11404</v>
      </c>
      <c r="L147" s="21">
        <v>4340088.8</v>
      </c>
      <c r="M147" s="21">
        <v>6000000</v>
      </c>
      <c r="N147" s="22">
        <f t="shared" si="6"/>
        <v>1.0953047678176029</v>
      </c>
      <c r="O147" s="22">
        <f t="shared" si="5"/>
        <v>0.76026666666666665</v>
      </c>
    </row>
    <row r="148" spans="1:15" x14ac:dyDescent="0.3">
      <c r="A148" s="1" t="s">
        <v>233</v>
      </c>
      <c r="B148" s="16" t="s">
        <v>96</v>
      </c>
      <c r="C148" s="17" t="s">
        <v>3</v>
      </c>
      <c r="D148" s="17" t="s">
        <v>18</v>
      </c>
      <c r="E148" s="18">
        <v>45726</v>
      </c>
      <c r="F148" s="19">
        <v>3</v>
      </c>
      <c r="H148" s="20">
        <v>1</v>
      </c>
      <c r="I148" s="21">
        <v>4181958.010000004</v>
      </c>
      <c r="J148" s="21">
        <v>12046</v>
      </c>
      <c r="K148" s="21">
        <v>11567</v>
      </c>
      <c r="L148" s="21">
        <v>4350834.5899999989</v>
      </c>
      <c r="M148" s="21">
        <v>6100000</v>
      </c>
      <c r="N148" s="22">
        <f t="shared" si="6"/>
        <v>1.040382179734032</v>
      </c>
      <c r="O148" s="22">
        <f t="shared" si="5"/>
        <v>0.77113333333333334</v>
      </c>
    </row>
    <row r="149" spans="1:15" x14ac:dyDescent="0.3">
      <c r="A149" s="1" t="s">
        <v>321</v>
      </c>
      <c r="B149" s="16" t="s">
        <v>262</v>
      </c>
      <c r="C149" s="17" t="s">
        <v>3</v>
      </c>
      <c r="D149" s="17" t="s">
        <v>4</v>
      </c>
      <c r="E149" s="18">
        <v>45803</v>
      </c>
      <c r="F149" s="19">
        <v>5</v>
      </c>
      <c r="H149" s="20">
        <v>1</v>
      </c>
      <c r="I149" s="21">
        <v>1628550.9500000009</v>
      </c>
      <c r="J149" s="21">
        <v>4750</v>
      </c>
      <c r="K149" s="21">
        <v>4750</v>
      </c>
      <c r="L149" s="21">
        <v>1612671.3399999999</v>
      </c>
      <c r="M149" s="21">
        <v>3400000</v>
      </c>
      <c r="N149" s="22">
        <f t="shared" si="6"/>
        <v>0.99024923966916656</v>
      </c>
      <c r="O149" s="22">
        <f t="shared" si="5"/>
        <v>0.95</v>
      </c>
    </row>
    <row r="150" spans="1:15" x14ac:dyDescent="0.3">
      <c r="B150" s="16" t="s">
        <v>439</v>
      </c>
      <c r="C150" s="17" t="s">
        <v>3</v>
      </c>
      <c r="D150" s="17" t="s">
        <v>4</v>
      </c>
      <c r="E150" s="18">
        <v>46097</v>
      </c>
      <c r="F150" s="19" t="s">
        <v>435</v>
      </c>
      <c r="H150" s="20">
        <v>1</v>
      </c>
      <c r="I150" s="21">
        <v>82403.469999999972</v>
      </c>
      <c r="J150" s="21">
        <v>155</v>
      </c>
      <c r="K150" s="21">
        <v>155</v>
      </c>
      <c r="L150" s="21">
        <v>44632.52</v>
      </c>
      <c r="M150" s="21">
        <v>3500000</v>
      </c>
      <c r="N150" s="22">
        <f t="shared" si="6"/>
        <v>0.54163398701535281</v>
      </c>
      <c r="O150" s="22">
        <f t="shared" si="5"/>
        <v>3.1E-2</v>
      </c>
    </row>
    <row r="151" spans="1:15" x14ac:dyDescent="0.3">
      <c r="A151" s="1" t="s">
        <v>331</v>
      </c>
      <c r="B151" s="16" t="s">
        <v>275</v>
      </c>
      <c r="C151" s="17" t="s">
        <v>3</v>
      </c>
      <c r="D151" s="17" t="s">
        <v>11</v>
      </c>
      <c r="E151" s="18">
        <v>45797</v>
      </c>
      <c r="F151" s="19">
        <v>5</v>
      </c>
      <c r="H151" s="20">
        <v>1</v>
      </c>
      <c r="I151" s="21">
        <v>4993717.9199999925</v>
      </c>
      <c r="J151" s="21">
        <v>16634</v>
      </c>
      <c r="K151" s="21">
        <v>14711</v>
      </c>
      <c r="L151" s="21">
        <v>5158492.93</v>
      </c>
      <c r="M151" s="21">
        <v>9000000</v>
      </c>
      <c r="N151" s="22">
        <f t="shared" si="6"/>
        <v>1.0329964592793834</v>
      </c>
      <c r="O151" s="22">
        <f t="shared" si="5"/>
        <v>0.58843999999999996</v>
      </c>
    </row>
    <row r="152" spans="1:15" x14ac:dyDescent="0.3">
      <c r="A152" s="1" t="s">
        <v>174</v>
      </c>
      <c r="B152" s="16" t="s">
        <v>295</v>
      </c>
      <c r="C152" s="17" t="s">
        <v>3</v>
      </c>
      <c r="D152" s="17" t="s">
        <v>4</v>
      </c>
      <c r="E152" s="18">
        <v>45797</v>
      </c>
      <c r="F152" s="19">
        <v>5</v>
      </c>
      <c r="H152" s="20">
        <v>1</v>
      </c>
      <c r="I152" s="21">
        <v>536862.4700000002</v>
      </c>
      <c r="J152" s="21">
        <v>1351</v>
      </c>
      <c r="K152" s="21">
        <v>1351</v>
      </c>
      <c r="L152" s="21">
        <v>554697.05999999994</v>
      </c>
      <c r="M152" s="21">
        <v>3000000</v>
      </c>
      <c r="N152" s="22">
        <f t="shared" si="6"/>
        <v>1.0332200349188121</v>
      </c>
      <c r="O152" s="22">
        <f t="shared" si="5"/>
        <v>0.2702</v>
      </c>
    </row>
    <row r="153" spans="1:15" x14ac:dyDescent="0.3">
      <c r="A153" s="1" t="s">
        <v>172</v>
      </c>
      <c r="B153" s="16" t="s">
        <v>100</v>
      </c>
      <c r="C153" s="17" t="s">
        <v>3</v>
      </c>
      <c r="D153" s="17" t="s">
        <v>18</v>
      </c>
      <c r="E153" s="18">
        <v>45747</v>
      </c>
      <c r="F153" s="19">
        <v>3</v>
      </c>
      <c r="H153" s="20">
        <v>1</v>
      </c>
      <c r="I153" s="21">
        <v>4278423.2299999986</v>
      </c>
      <c r="J153" s="21">
        <v>12986</v>
      </c>
      <c r="K153" s="21">
        <v>11322</v>
      </c>
      <c r="L153" s="21">
        <v>4690000</v>
      </c>
      <c r="M153" s="21">
        <v>6000000</v>
      </c>
      <c r="N153" s="22">
        <f t="shared" si="6"/>
        <v>1.0961982365638945</v>
      </c>
      <c r="O153" s="22">
        <f t="shared" si="5"/>
        <v>0.75480000000000003</v>
      </c>
    </row>
    <row r="154" spans="1:15" x14ac:dyDescent="0.3">
      <c r="A154" s="1" t="s">
        <v>29</v>
      </c>
      <c r="B154" s="16" t="s">
        <v>119</v>
      </c>
      <c r="C154" s="17" t="s">
        <v>3</v>
      </c>
      <c r="D154" s="17" t="s">
        <v>11</v>
      </c>
      <c r="E154" s="18">
        <v>45729</v>
      </c>
      <c r="F154" s="19">
        <v>3</v>
      </c>
      <c r="G154" s="18">
        <v>46326</v>
      </c>
      <c r="H154" s="20">
        <v>2</v>
      </c>
      <c r="I154" s="21">
        <v>11403987.800000034</v>
      </c>
      <c r="J154" s="21">
        <v>36860</v>
      </c>
      <c r="K154" s="21">
        <v>31136</v>
      </c>
      <c r="L154" s="21">
        <v>12950000</v>
      </c>
      <c r="M154" s="21">
        <v>20000000</v>
      </c>
      <c r="N154" s="22">
        <f t="shared" si="6"/>
        <v>1.1355676827363812</v>
      </c>
      <c r="O154" s="22">
        <f t="shared" si="5"/>
        <v>0.62272000000000005</v>
      </c>
    </row>
    <row r="155" spans="1:15" x14ac:dyDescent="0.3">
      <c r="A155" s="1" t="s">
        <v>42</v>
      </c>
      <c r="B155" s="16" t="s">
        <v>271</v>
      </c>
      <c r="C155" s="17" t="s">
        <v>3</v>
      </c>
      <c r="D155" s="17" t="s">
        <v>4</v>
      </c>
      <c r="E155" s="18">
        <v>45791</v>
      </c>
      <c r="F155" s="19">
        <v>5</v>
      </c>
      <c r="H155" s="20">
        <v>1</v>
      </c>
      <c r="I155" s="21">
        <v>1336031.4100000001</v>
      </c>
      <c r="J155" s="21">
        <v>3666</v>
      </c>
      <c r="K155" s="21">
        <v>3666</v>
      </c>
      <c r="L155" s="21">
        <v>1169077.17</v>
      </c>
      <c r="M155" s="21">
        <v>3000000</v>
      </c>
      <c r="N155" s="22">
        <f t="shared" si="6"/>
        <v>0.87503718943254472</v>
      </c>
      <c r="O155" s="22">
        <f t="shared" si="5"/>
        <v>0.73319999999999996</v>
      </c>
    </row>
    <row r="156" spans="1:15" x14ac:dyDescent="0.3">
      <c r="A156" s="1" t="s">
        <v>333</v>
      </c>
      <c r="B156" s="16" t="s">
        <v>413</v>
      </c>
      <c r="C156" s="17" t="s">
        <v>3</v>
      </c>
      <c r="D156" s="17" t="s">
        <v>11</v>
      </c>
      <c r="E156" s="18">
        <v>45904</v>
      </c>
      <c r="F156" s="19">
        <v>9</v>
      </c>
      <c r="H156" s="20">
        <v>1</v>
      </c>
      <c r="I156" s="21">
        <v>2186733.9299999974</v>
      </c>
      <c r="J156" s="21">
        <v>7027</v>
      </c>
      <c r="K156" s="21">
        <v>5761</v>
      </c>
      <c r="L156" s="21">
        <v>2303955.9400000004</v>
      </c>
      <c r="M156" s="21">
        <v>9250000</v>
      </c>
      <c r="N156" s="22">
        <f t="shared" si="6"/>
        <v>1.0536059775685664</v>
      </c>
      <c r="O156" s="22">
        <f t="shared" si="5"/>
        <v>0.23044000000000001</v>
      </c>
    </row>
    <row r="157" spans="1:15" x14ac:dyDescent="0.3">
      <c r="A157" s="1" t="s">
        <v>104</v>
      </c>
      <c r="B157" s="16" t="s">
        <v>535</v>
      </c>
      <c r="C157" s="17" t="s">
        <v>3</v>
      </c>
      <c r="D157" s="17" t="s">
        <v>4</v>
      </c>
      <c r="E157" s="18">
        <v>46129</v>
      </c>
      <c r="F157" s="19" t="s">
        <v>530</v>
      </c>
      <c r="H157" s="20">
        <v>1</v>
      </c>
      <c r="I157" s="21">
        <v>77867.799999999988</v>
      </c>
      <c r="J157" s="21">
        <v>241</v>
      </c>
      <c r="K157" s="21">
        <v>241</v>
      </c>
      <c r="L157" s="21">
        <v>0</v>
      </c>
      <c r="M157" s="21">
        <v>5650000</v>
      </c>
      <c r="N157" s="22">
        <f t="shared" si="6"/>
        <v>0</v>
      </c>
      <c r="O157" s="22">
        <f t="shared" si="5"/>
        <v>4.82E-2</v>
      </c>
    </row>
    <row r="158" spans="1:15" x14ac:dyDescent="0.3">
      <c r="A158" s="1" t="s">
        <v>335</v>
      </c>
      <c r="B158" s="16" t="s">
        <v>182</v>
      </c>
      <c r="C158" s="17" t="s">
        <v>3</v>
      </c>
      <c r="D158" s="17" t="s">
        <v>11</v>
      </c>
      <c r="E158" s="18">
        <v>45754</v>
      </c>
      <c r="F158" s="19">
        <v>4</v>
      </c>
      <c r="G158" s="18">
        <v>46487</v>
      </c>
      <c r="H158" s="20">
        <v>2</v>
      </c>
      <c r="I158" s="21">
        <v>10511579.370000001</v>
      </c>
      <c r="J158" s="21">
        <v>35919</v>
      </c>
      <c r="K158" s="21">
        <v>30650</v>
      </c>
      <c r="L158" s="21">
        <v>10158175.52</v>
      </c>
      <c r="M158" s="21">
        <v>13000000</v>
      </c>
      <c r="N158" s="22">
        <f t="shared" si="6"/>
        <v>0.96637956699365135</v>
      </c>
      <c r="O158" s="22">
        <f t="shared" si="5"/>
        <v>0.61299999999999999</v>
      </c>
    </row>
    <row r="159" spans="1:15" x14ac:dyDescent="0.3">
      <c r="A159" s="1" t="s">
        <v>378</v>
      </c>
      <c r="B159" s="16" t="s">
        <v>60</v>
      </c>
      <c r="C159" s="17" t="s">
        <v>3</v>
      </c>
      <c r="D159" s="17" t="s">
        <v>18</v>
      </c>
      <c r="E159" s="18">
        <v>45735</v>
      </c>
      <c r="F159" s="19">
        <v>3</v>
      </c>
      <c r="H159" s="20">
        <v>1</v>
      </c>
      <c r="I159" s="21">
        <v>5752217.1099999743</v>
      </c>
      <c r="J159" s="21">
        <v>17709</v>
      </c>
      <c r="K159" s="21">
        <v>15171</v>
      </c>
      <c r="L159" s="21">
        <v>6500000</v>
      </c>
      <c r="M159" s="21">
        <v>6500000</v>
      </c>
      <c r="N159" s="22">
        <f t="shared" si="6"/>
        <v>1.1299990726532276</v>
      </c>
      <c r="O159" s="22">
        <f t="shared" si="5"/>
        <v>1.0114000000000001</v>
      </c>
    </row>
    <row r="160" spans="1:15" x14ac:dyDescent="0.3">
      <c r="A160" s="1" t="s">
        <v>337</v>
      </c>
      <c r="B160" s="16" t="s">
        <v>399</v>
      </c>
      <c r="C160" s="17" t="s">
        <v>3</v>
      </c>
      <c r="D160" s="17" t="s">
        <v>11</v>
      </c>
      <c r="E160" s="18">
        <v>45888</v>
      </c>
      <c r="F160" s="19">
        <v>8</v>
      </c>
      <c r="H160" s="20">
        <v>1</v>
      </c>
      <c r="I160" s="21">
        <v>8109857.1800000137</v>
      </c>
      <c r="J160" s="21">
        <v>22117</v>
      </c>
      <c r="K160" s="21">
        <v>22117</v>
      </c>
      <c r="L160" s="21">
        <v>9500000</v>
      </c>
      <c r="M160" s="21">
        <v>10000000</v>
      </c>
      <c r="N160" s="22">
        <f t="shared" si="6"/>
        <v>1.1714139705725353</v>
      </c>
      <c r="O160" s="22">
        <f t="shared" si="5"/>
        <v>0.88468000000000002</v>
      </c>
    </row>
    <row r="161" spans="1:15" x14ac:dyDescent="0.3">
      <c r="A161" s="1" t="s">
        <v>268</v>
      </c>
      <c r="B161" s="16" t="s">
        <v>328</v>
      </c>
      <c r="C161" s="17" t="s">
        <v>3</v>
      </c>
      <c r="D161" s="17" t="s">
        <v>4</v>
      </c>
      <c r="E161" s="18">
        <v>45825</v>
      </c>
      <c r="F161" s="19">
        <v>6</v>
      </c>
      <c r="H161" s="20">
        <v>1</v>
      </c>
      <c r="I161" s="21">
        <v>1148178.3999999925</v>
      </c>
      <c r="J161" s="21">
        <v>2961</v>
      </c>
      <c r="K161" s="21">
        <v>2961</v>
      </c>
      <c r="L161" s="21">
        <v>1089309.76</v>
      </c>
      <c r="M161" s="21">
        <v>3000000</v>
      </c>
      <c r="N161" s="22">
        <f t="shared" si="6"/>
        <v>0.94872866446538895</v>
      </c>
      <c r="O161" s="22">
        <f t="shared" si="5"/>
        <v>0.59219999999999995</v>
      </c>
    </row>
    <row r="162" spans="1:15" x14ac:dyDescent="0.3">
      <c r="A162" s="1" t="s">
        <v>138</v>
      </c>
      <c r="B162" s="16" t="s">
        <v>62</v>
      </c>
      <c r="C162" s="17" t="s">
        <v>3</v>
      </c>
      <c r="D162" s="17" t="s">
        <v>11</v>
      </c>
      <c r="E162" s="18">
        <v>45730</v>
      </c>
      <c r="F162" s="19">
        <v>3</v>
      </c>
      <c r="H162" s="20">
        <v>1</v>
      </c>
      <c r="I162" s="21">
        <v>9399767.9999999832</v>
      </c>
      <c r="J162" s="21">
        <v>33312</v>
      </c>
      <c r="K162" s="21">
        <v>26405</v>
      </c>
      <c r="L162" s="21">
        <v>10168014.109999999</v>
      </c>
      <c r="M162" s="21">
        <v>15000000</v>
      </c>
      <c r="N162" s="22">
        <f t="shared" si="6"/>
        <v>1.0817303267484919</v>
      </c>
      <c r="O162" s="22">
        <f t="shared" si="5"/>
        <v>1.0562</v>
      </c>
    </row>
    <row r="163" spans="1:15" x14ac:dyDescent="0.3">
      <c r="A163" s="1" t="s">
        <v>259</v>
      </c>
      <c r="B163" s="16" t="s">
        <v>200</v>
      </c>
      <c r="C163" s="17" t="s">
        <v>3</v>
      </c>
      <c r="D163" s="17" t="s">
        <v>11</v>
      </c>
      <c r="E163" s="18">
        <v>45757</v>
      </c>
      <c r="F163" s="19">
        <v>4</v>
      </c>
      <c r="H163" s="20">
        <v>1</v>
      </c>
      <c r="I163" s="21">
        <v>7786366.8499999344</v>
      </c>
      <c r="J163" s="21">
        <v>23329</v>
      </c>
      <c r="K163" s="21">
        <v>22286</v>
      </c>
      <c r="L163" s="21">
        <v>12000000</v>
      </c>
      <c r="M163" s="21">
        <v>12000000</v>
      </c>
      <c r="N163" s="22">
        <f t="shared" si="6"/>
        <v>1.5411552308250287</v>
      </c>
      <c r="O163" s="22">
        <f t="shared" si="5"/>
        <v>0.89144000000000001</v>
      </c>
    </row>
    <row r="164" spans="1:15" x14ac:dyDescent="0.3">
      <c r="A164" s="1" t="s">
        <v>404</v>
      </c>
      <c r="B164" s="16" t="s">
        <v>222</v>
      </c>
      <c r="C164" s="17" t="s">
        <v>3</v>
      </c>
      <c r="D164" s="17" t="s">
        <v>4</v>
      </c>
      <c r="E164" s="18">
        <v>45776</v>
      </c>
      <c r="F164" s="19">
        <v>4</v>
      </c>
      <c r="H164" s="20">
        <v>1</v>
      </c>
      <c r="I164" s="21">
        <v>731933.70000000158</v>
      </c>
      <c r="J164" s="21">
        <v>1817</v>
      </c>
      <c r="K164" s="21">
        <v>1791</v>
      </c>
      <c r="L164" s="21">
        <v>823643.12000000011</v>
      </c>
      <c r="M164" s="21">
        <v>3000000</v>
      </c>
      <c r="N164" s="22">
        <f t="shared" si="6"/>
        <v>1.1252974415578874</v>
      </c>
      <c r="O164" s="22">
        <f t="shared" si="5"/>
        <v>0.35820000000000002</v>
      </c>
    </row>
    <row r="165" spans="1:15" x14ac:dyDescent="0.3">
      <c r="A165" s="1" t="s">
        <v>67</v>
      </c>
      <c r="B165" s="16" t="s">
        <v>234</v>
      </c>
      <c r="C165" s="17" t="s">
        <v>3</v>
      </c>
      <c r="D165" s="17" t="s">
        <v>4</v>
      </c>
      <c r="E165" s="18">
        <v>45758</v>
      </c>
      <c r="F165" s="19">
        <v>4</v>
      </c>
      <c r="H165" s="20">
        <v>1</v>
      </c>
      <c r="I165" s="21">
        <v>165323.35999999999</v>
      </c>
      <c r="J165" s="21">
        <v>444</v>
      </c>
      <c r="K165" s="21">
        <v>442</v>
      </c>
      <c r="L165" s="21">
        <v>174321.2</v>
      </c>
      <c r="M165" s="21">
        <v>2950000</v>
      </c>
      <c r="N165" s="22">
        <f t="shared" si="6"/>
        <v>1.0544257024536643</v>
      </c>
      <c r="O165" s="22">
        <f t="shared" si="5"/>
        <v>8.8400000000000006E-2</v>
      </c>
    </row>
    <row r="166" spans="1:15" x14ac:dyDescent="0.3">
      <c r="A166" s="1" t="s">
        <v>239</v>
      </c>
      <c r="B166" s="16" t="s">
        <v>322</v>
      </c>
      <c r="C166" s="17" t="s">
        <v>3</v>
      </c>
      <c r="D166" s="17" t="s">
        <v>4</v>
      </c>
      <c r="E166" s="18">
        <v>45825</v>
      </c>
      <c r="F166" s="19">
        <v>6</v>
      </c>
      <c r="H166" s="20">
        <v>1</v>
      </c>
      <c r="I166" s="21">
        <v>1364559.0099999991</v>
      </c>
      <c r="J166" s="21">
        <v>3826</v>
      </c>
      <c r="K166" s="21">
        <v>3818</v>
      </c>
      <c r="L166" s="21">
        <v>1348375.0199999998</v>
      </c>
      <c r="M166" s="21">
        <v>3700000</v>
      </c>
      <c r="N166" s="22">
        <f t="shared" si="6"/>
        <v>0.98813976538838044</v>
      </c>
      <c r="O166" s="22">
        <f t="shared" si="5"/>
        <v>0.76359999999999995</v>
      </c>
    </row>
    <row r="167" spans="1:15" x14ac:dyDescent="0.3">
      <c r="A167" s="1" t="s">
        <v>1</v>
      </c>
      <c r="B167" s="16" t="s">
        <v>425</v>
      </c>
      <c r="C167" s="17" t="s">
        <v>3</v>
      </c>
      <c r="D167" s="17" t="s">
        <v>11</v>
      </c>
      <c r="E167" s="18">
        <v>46010</v>
      </c>
      <c r="F167" s="19">
        <v>12</v>
      </c>
      <c r="H167" s="20">
        <v>1</v>
      </c>
      <c r="I167" s="21">
        <v>2307477.350000001</v>
      </c>
      <c r="J167" s="21">
        <v>6965</v>
      </c>
      <c r="K167" s="21">
        <v>6965</v>
      </c>
      <c r="L167" s="21">
        <v>815000</v>
      </c>
      <c r="M167" s="21">
        <v>9000000</v>
      </c>
      <c r="N167" s="22">
        <f t="shared" si="6"/>
        <v>0.35319956661763102</v>
      </c>
      <c r="O167" s="22">
        <f t="shared" si="5"/>
        <v>0.27860000000000001</v>
      </c>
    </row>
    <row r="168" spans="1:15" x14ac:dyDescent="0.3">
      <c r="A168" s="1" t="s">
        <v>253</v>
      </c>
      <c r="B168" s="16" t="s">
        <v>332</v>
      </c>
      <c r="C168" s="17" t="s">
        <v>3</v>
      </c>
      <c r="D168" s="17" t="s">
        <v>4</v>
      </c>
      <c r="E168" s="18">
        <v>45832</v>
      </c>
      <c r="F168" s="19">
        <v>6</v>
      </c>
      <c r="H168" s="20">
        <v>1</v>
      </c>
      <c r="I168" s="21">
        <v>988200.7900000012</v>
      </c>
      <c r="J168" s="21">
        <v>2977</v>
      </c>
      <c r="K168" s="21">
        <v>2903</v>
      </c>
      <c r="L168" s="21">
        <v>972517.16000000015</v>
      </c>
      <c r="M168" s="21">
        <v>3000000</v>
      </c>
      <c r="N168" s="22">
        <f t="shared" si="6"/>
        <v>0.98412910598867154</v>
      </c>
      <c r="O168" s="22">
        <f t="shared" si="5"/>
        <v>0.5806</v>
      </c>
    </row>
    <row r="169" spans="1:15" x14ac:dyDescent="0.3">
      <c r="A169" s="1" t="s">
        <v>217</v>
      </c>
      <c r="B169" s="16" t="s">
        <v>175</v>
      </c>
      <c r="C169" s="17" t="s">
        <v>3</v>
      </c>
      <c r="D169" s="17" t="s">
        <v>4</v>
      </c>
      <c r="E169" s="18">
        <v>45772</v>
      </c>
      <c r="F169" s="19">
        <v>4</v>
      </c>
      <c r="H169" s="20">
        <v>1</v>
      </c>
      <c r="I169" s="21">
        <v>2532188.5800000047</v>
      </c>
      <c r="J169" s="21">
        <v>6928</v>
      </c>
      <c r="K169" s="21">
        <v>6518</v>
      </c>
      <c r="L169" s="21">
        <v>2720827.5300000003</v>
      </c>
      <c r="M169" s="21">
        <v>2861370.75</v>
      </c>
      <c r="N169" s="22">
        <f t="shared" si="6"/>
        <v>1.0744964065827969</v>
      </c>
      <c r="O169" s="22">
        <f t="shared" si="5"/>
        <v>1.3036000000000001</v>
      </c>
    </row>
    <row r="170" spans="1:15" x14ac:dyDescent="0.3">
      <c r="B170" s="16" t="s">
        <v>173</v>
      </c>
      <c r="C170" s="17" t="s">
        <v>3</v>
      </c>
      <c r="D170" s="17" t="s">
        <v>4</v>
      </c>
      <c r="E170" s="18">
        <v>45756</v>
      </c>
      <c r="F170" s="19">
        <v>4</v>
      </c>
      <c r="G170" s="18">
        <v>46486</v>
      </c>
      <c r="H170" s="20">
        <v>2</v>
      </c>
      <c r="I170" s="21">
        <v>2591173.3899999969</v>
      </c>
      <c r="J170" s="21">
        <v>7649</v>
      </c>
      <c r="K170" s="21">
        <v>7242</v>
      </c>
      <c r="L170" s="21">
        <v>2715988.1199999996</v>
      </c>
      <c r="M170" s="21">
        <v>3550000</v>
      </c>
      <c r="N170" s="22">
        <f t="shared" si="6"/>
        <v>1.0481691925680061</v>
      </c>
      <c r="O170" s="22">
        <f t="shared" si="5"/>
        <v>0.72419999999999995</v>
      </c>
    </row>
    <row r="171" spans="1:15" x14ac:dyDescent="0.3">
      <c r="A171" s="1" t="s">
        <v>178</v>
      </c>
      <c r="B171" s="16" t="s">
        <v>2</v>
      </c>
      <c r="C171" s="17" t="s">
        <v>3</v>
      </c>
      <c r="D171" s="17" t="s">
        <v>4</v>
      </c>
      <c r="E171" s="18">
        <v>45707</v>
      </c>
      <c r="F171" s="19">
        <v>2</v>
      </c>
      <c r="H171" s="20">
        <v>1</v>
      </c>
      <c r="I171" s="21">
        <v>4512740.8000000156</v>
      </c>
      <c r="J171" s="21">
        <v>14755</v>
      </c>
      <c r="K171" s="21">
        <v>13003</v>
      </c>
      <c r="L171" s="21">
        <v>5100000</v>
      </c>
      <c r="M171" s="21">
        <v>5100000</v>
      </c>
      <c r="N171" s="22">
        <f t="shared" si="6"/>
        <v>1.1301335986325609</v>
      </c>
      <c r="O171" s="22">
        <f t="shared" si="5"/>
        <v>2.6006</v>
      </c>
    </row>
    <row r="172" spans="1:15" x14ac:dyDescent="0.3">
      <c r="B172" s="16" t="s">
        <v>254</v>
      </c>
      <c r="C172" s="17" t="s">
        <v>3</v>
      </c>
      <c r="D172" s="17" t="s">
        <v>18</v>
      </c>
      <c r="E172" s="18">
        <v>45791</v>
      </c>
      <c r="F172" s="19">
        <v>5</v>
      </c>
      <c r="H172" s="20">
        <v>1</v>
      </c>
      <c r="I172" s="21">
        <v>5310063.769999967</v>
      </c>
      <c r="J172" s="21">
        <v>16814</v>
      </c>
      <c r="K172" s="21">
        <v>14620</v>
      </c>
      <c r="L172" s="21">
        <v>6000000</v>
      </c>
      <c r="M172" s="21">
        <v>6000000</v>
      </c>
      <c r="N172" s="22">
        <f t="shared" si="6"/>
        <v>1.129929933026028</v>
      </c>
      <c r="O172" s="22">
        <f t="shared" si="5"/>
        <v>0.97466666666666668</v>
      </c>
    </row>
    <row r="173" spans="1:15" x14ac:dyDescent="0.3">
      <c r="A173" s="1" t="s">
        <v>209</v>
      </c>
      <c r="B173" s="16" t="s">
        <v>218</v>
      </c>
      <c r="C173" s="17" t="s">
        <v>3</v>
      </c>
      <c r="D173" s="17" t="s">
        <v>4</v>
      </c>
      <c r="E173" s="18">
        <v>45758</v>
      </c>
      <c r="F173" s="19">
        <v>4</v>
      </c>
      <c r="H173" s="20">
        <v>1</v>
      </c>
      <c r="I173" s="21">
        <v>890457.84000000055</v>
      </c>
      <c r="J173" s="21">
        <v>2505</v>
      </c>
      <c r="K173" s="21">
        <v>2505</v>
      </c>
      <c r="L173" s="21">
        <v>819784.73</v>
      </c>
      <c r="M173" s="21">
        <v>3000000</v>
      </c>
      <c r="N173" s="22">
        <f t="shared" si="6"/>
        <v>0.92063283984337707</v>
      </c>
      <c r="O173" s="22">
        <f t="shared" si="5"/>
        <v>0.501</v>
      </c>
    </row>
    <row r="174" spans="1:15" x14ac:dyDescent="0.3">
      <c r="A174" s="1" t="s">
        <v>357</v>
      </c>
      <c r="B174" s="16" t="s">
        <v>415</v>
      </c>
      <c r="C174" s="17" t="s">
        <v>3</v>
      </c>
      <c r="D174" s="17" t="s">
        <v>4</v>
      </c>
      <c r="E174" s="18">
        <v>45922</v>
      </c>
      <c r="F174" s="19">
        <v>9</v>
      </c>
      <c r="H174" s="20">
        <v>1</v>
      </c>
      <c r="I174" s="21">
        <v>141417.03</v>
      </c>
      <c r="J174" s="21">
        <v>412</v>
      </c>
      <c r="K174" s="21">
        <v>412</v>
      </c>
      <c r="L174" s="21">
        <v>160000</v>
      </c>
      <c r="M174" s="21">
        <v>3000000</v>
      </c>
      <c r="N174" s="22">
        <f t="shared" si="6"/>
        <v>1.13140546085574</v>
      </c>
      <c r="O174" s="22">
        <f t="shared" si="5"/>
        <v>8.2400000000000001E-2</v>
      </c>
    </row>
    <row r="175" spans="1:15" x14ac:dyDescent="0.3">
      <c r="A175" s="1" t="s">
        <v>145</v>
      </c>
      <c r="B175" s="16" t="s">
        <v>443</v>
      </c>
      <c r="C175" s="17" t="s">
        <v>3</v>
      </c>
      <c r="D175" s="17" t="s">
        <v>4</v>
      </c>
      <c r="E175" s="18">
        <v>46111</v>
      </c>
      <c r="F175" s="19" t="s">
        <v>435</v>
      </c>
      <c r="H175" s="20">
        <v>1</v>
      </c>
      <c r="I175" s="21">
        <v>77561.839999999982</v>
      </c>
      <c r="J175" s="21">
        <v>234</v>
      </c>
      <c r="K175" s="21">
        <v>234</v>
      </c>
      <c r="L175" s="21">
        <v>0</v>
      </c>
      <c r="M175" s="21">
        <v>3000000</v>
      </c>
      <c r="N175" s="22">
        <f t="shared" si="6"/>
        <v>0</v>
      </c>
      <c r="O175" s="22">
        <f t="shared" si="5"/>
        <v>4.6800000000000001E-2</v>
      </c>
    </row>
    <row r="176" spans="1:15" x14ac:dyDescent="0.3">
      <c r="A176" s="1" t="s">
        <v>229</v>
      </c>
      <c r="B176" s="16" t="s">
        <v>91</v>
      </c>
      <c r="C176" s="17" t="s">
        <v>3</v>
      </c>
      <c r="D176" s="17" t="s">
        <v>18</v>
      </c>
      <c r="E176" s="18">
        <v>45729</v>
      </c>
      <c r="F176" s="19">
        <v>3</v>
      </c>
      <c r="H176" s="20">
        <v>1</v>
      </c>
      <c r="I176" s="21">
        <v>4054430.1399999969</v>
      </c>
      <c r="J176" s="21">
        <v>13411</v>
      </c>
      <c r="K176" s="21">
        <v>11893</v>
      </c>
      <c r="L176" s="21">
        <v>4023636.16</v>
      </c>
      <c r="M176" s="21">
        <v>6000000</v>
      </c>
      <c r="N176" s="22">
        <f t="shared" si="6"/>
        <v>0.99240485618528951</v>
      </c>
      <c r="O176" s="22">
        <f t="shared" si="5"/>
        <v>0.79286666666666672</v>
      </c>
    </row>
    <row r="177" spans="1:15" x14ac:dyDescent="0.3">
      <c r="A177" s="1" t="s">
        <v>243</v>
      </c>
      <c r="B177" s="16" t="s">
        <v>72</v>
      </c>
      <c r="C177" s="17" t="s">
        <v>3</v>
      </c>
      <c r="D177" s="17" t="s">
        <v>18</v>
      </c>
      <c r="E177" s="18">
        <v>45734</v>
      </c>
      <c r="F177" s="19">
        <v>3</v>
      </c>
      <c r="H177" s="20">
        <v>1</v>
      </c>
      <c r="I177" s="21">
        <v>5041527.5199999996</v>
      </c>
      <c r="J177" s="21">
        <v>15955</v>
      </c>
      <c r="K177" s="21">
        <v>14194</v>
      </c>
      <c r="L177" s="21">
        <v>5197051.8400000008</v>
      </c>
      <c r="M177" s="21">
        <v>6600000</v>
      </c>
      <c r="N177" s="22">
        <f t="shared" si="6"/>
        <v>1.0308486504106202</v>
      </c>
      <c r="O177" s="22">
        <f t="shared" si="5"/>
        <v>0.9462666666666667</v>
      </c>
    </row>
    <row r="178" spans="1:15" x14ac:dyDescent="0.3">
      <c r="A178" s="1" t="s">
        <v>101</v>
      </c>
      <c r="B178" s="16" t="s">
        <v>79</v>
      </c>
      <c r="C178" s="17" t="s">
        <v>3</v>
      </c>
      <c r="D178" s="17" t="s">
        <v>4</v>
      </c>
      <c r="E178" s="18">
        <v>45733</v>
      </c>
      <c r="F178" s="19">
        <v>3</v>
      </c>
      <c r="G178" s="18">
        <v>46361</v>
      </c>
      <c r="H178" s="20">
        <v>2</v>
      </c>
      <c r="I178" s="21">
        <v>2709691.4399999944</v>
      </c>
      <c r="J178" s="21">
        <v>8692</v>
      </c>
      <c r="K178" s="21">
        <v>7856</v>
      </c>
      <c r="L178" s="21">
        <v>3072874.2200000007</v>
      </c>
      <c r="M178" s="21">
        <v>3640000</v>
      </c>
      <c r="N178" s="22">
        <f t="shared" si="6"/>
        <v>1.1340310467231676</v>
      </c>
      <c r="O178" s="22">
        <f t="shared" si="5"/>
        <v>0.78559999999999997</v>
      </c>
    </row>
    <row r="179" spans="1:15" x14ac:dyDescent="0.3">
      <c r="A179" s="1" t="s">
        <v>122</v>
      </c>
      <c r="B179" s="16" t="s">
        <v>303</v>
      </c>
      <c r="C179" s="17" t="s">
        <v>3</v>
      </c>
      <c r="D179" s="17" t="s">
        <v>4</v>
      </c>
      <c r="E179" s="18">
        <v>45792</v>
      </c>
      <c r="F179" s="19">
        <v>5</v>
      </c>
      <c r="H179" s="20">
        <v>1</v>
      </c>
      <c r="I179" s="21">
        <v>346768.20000000024</v>
      </c>
      <c r="J179" s="21">
        <v>921</v>
      </c>
      <c r="K179" s="21">
        <v>920</v>
      </c>
      <c r="L179" s="21">
        <v>355673.91000000003</v>
      </c>
      <c r="M179" s="21">
        <v>3000000</v>
      </c>
      <c r="N179" s="22">
        <f t="shared" si="6"/>
        <v>1.0256820262065547</v>
      </c>
      <c r="O179" s="22">
        <f t="shared" si="5"/>
        <v>0.184</v>
      </c>
    </row>
    <row r="180" spans="1:15" x14ac:dyDescent="0.3">
      <c r="A180" s="1" t="s">
        <v>241</v>
      </c>
      <c r="B180" s="16" t="s">
        <v>171</v>
      </c>
      <c r="C180" s="17" t="s">
        <v>3</v>
      </c>
      <c r="D180" s="17" t="s">
        <v>4</v>
      </c>
      <c r="E180" s="18">
        <v>45770</v>
      </c>
      <c r="F180" s="19">
        <v>4</v>
      </c>
      <c r="H180" s="20">
        <v>1</v>
      </c>
      <c r="I180" s="21">
        <v>2323710.9799999995</v>
      </c>
      <c r="J180" s="21">
        <v>7397</v>
      </c>
      <c r="K180" s="21">
        <v>6666</v>
      </c>
      <c r="L180" s="21">
        <v>2636990.88</v>
      </c>
      <c r="M180" s="21">
        <v>3060000</v>
      </c>
      <c r="N180" s="22">
        <f t="shared" si="6"/>
        <v>1.1348187888667636</v>
      </c>
      <c r="O180" s="22">
        <f t="shared" si="5"/>
        <v>1.3331999999999999</v>
      </c>
    </row>
    <row r="181" spans="1:15" x14ac:dyDescent="0.3">
      <c r="A181" s="1" t="s">
        <v>126</v>
      </c>
      <c r="B181" s="16" t="s">
        <v>85</v>
      </c>
      <c r="C181" s="17" t="s">
        <v>3</v>
      </c>
      <c r="D181" s="17" t="s">
        <v>4</v>
      </c>
      <c r="E181" s="18">
        <v>45739</v>
      </c>
      <c r="F181" s="19">
        <v>3</v>
      </c>
      <c r="H181" s="20">
        <v>1</v>
      </c>
      <c r="I181" s="21">
        <v>1795182.3099999994</v>
      </c>
      <c r="J181" s="21">
        <v>4717</v>
      </c>
      <c r="K181" s="21">
        <v>4320</v>
      </c>
      <c r="L181" s="21">
        <v>1926442.75</v>
      </c>
      <c r="M181" s="21">
        <v>3018000</v>
      </c>
      <c r="N181" s="22">
        <f t="shared" si="6"/>
        <v>1.0731181670345229</v>
      </c>
      <c r="O181" s="22">
        <f t="shared" si="5"/>
        <v>0.86399999999999999</v>
      </c>
    </row>
    <row r="182" spans="1:15" x14ac:dyDescent="0.3">
      <c r="A182" s="1" t="s">
        <v>90</v>
      </c>
      <c r="B182" s="16" t="s">
        <v>258</v>
      </c>
      <c r="C182" s="17" t="s">
        <v>7</v>
      </c>
      <c r="D182" s="17" t="s">
        <v>4</v>
      </c>
      <c r="E182" s="18">
        <v>45790</v>
      </c>
      <c r="F182" s="19">
        <v>5</v>
      </c>
      <c r="H182" s="20">
        <v>1</v>
      </c>
      <c r="I182" s="21">
        <v>2853304.3499999996</v>
      </c>
      <c r="J182" s="21">
        <v>5178</v>
      </c>
      <c r="K182" s="21">
        <v>5098</v>
      </c>
      <c r="L182" s="21">
        <v>2870395.6399999997</v>
      </c>
      <c r="M182" s="21">
        <v>4700000</v>
      </c>
      <c r="N182" s="22">
        <f t="shared" si="6"/>
        <v>1.0059899989287859</v>
      </c>
      <c r="O182" s="22">
        <f t="shared" si="5"/>
        <v>1.0196000000000001</v>
      </c>
    </row>
    <row r="183" spans="1:15" x14ac:dyDescent="0.3">
      <c r="A183" s="1" t="s">
        <v>71</v>
      </c>
      <c r="B183" s="16" t="s">
        <v>137</v>
      </c>
      <c r="C183" s="17" t="s">
        <v>7</v>
      </c>
      <c r="D183" s="17" t="s">
        <v>18</v>
      </c>
      <c r="E183" s="18">
        <v>45729</v>
      </c>
      <c r="F183" s="19">
        <v>3</v>
      </c>
      <c r="H183" s="20">
        <v>1</v>
      </c>
      <c r="I183" s="21">
        <v>2003571.86</v>
      </c>
      <c r="J183" s="21">
        <v>5688</v>
      </c>
      <c r="K183" s="21">
        <v>5688</v>
      </c>
      <c r="L183" s="21">
        <v>1943401.3000000003</v>
      </c>
      <c r="M183" s="21">
        <v>7504722.8700000001</v>
      </c>
      <c r="N183" s="22">
        <f t="shared" si="6"/>
        <v>0.96996835441679652</v>
      </c>
      <c r="O183" s="22">
        <f t="shared" si="5"/>
        <v>0.37919999999999998</v>
      </c>
    </row>
    <row r="184" spans="1:15" x14ac:dyDescent="0.3">
      <c r="A184" s="1" t="s">
        <v>78</v>
      </c>
      <c r="B184" s="16" t="s">
        <v>248</v>
      </c>
      <c r="C184" s="17" t="s">
        <v>7</v>
      </c>
      <c r="D184" s="17" t="s">
        <v>4</v>
      </c>
      <c r="E184" s="18">
        <v>45798</v>
      </c>
      <c r="F184" s="19">
        <v>5</v>
      </c>
      <c r="H184" s="20">
        <v>1</v>
      </c>
      <c r="I184" s="21">
        <v>1772767.9999999984</v>
      </c>
      <c r="J184" s="21">
        <v>5756</v>
      </c>
      <c r="K184" s="21">
        <v>5040</v>
      </c>
      <c r="L184" s="21">
        <v>2003226.9999999998</v>
      </c>
      <c r="M184" s="21">
        <v>2003227</v>
      </c>
      <c r="N184" s="22">
        <f t="shared" si="6"/>
        <v>1.1299995261647331</v>
      </c>
      <c r="O184" s="22">
        <f t="shared" si="5"/>
        <v>1.008</v>
      </c>
    </row>
    <row r="185" spans="1:15" x14ac:dyDescent="0.3">
      <c r="A185" s="1" t="s">
        <v>302</v>
      </c>
      <c r="B185" s="16" t="s">
        <v>423</v>
      </c>
      <c r="C185" s="17" t="s">
        <v>7</v>
      </c>
      <c r="D185" s="17" t="s">
        <v>18</v>
      </c>
      <c r="E185" s="18">
        <v>45972</v>
      </c>
      <c r="F185" s="19">
        <v>11</v>
      </c>
      <c r="H185" s="20">
        <v>1</v>
      </c>
      <c r="I185" s="21">
        <v>2371690.1600000006</v>
      </c>
      <c r="J185" s="21">
        <v>6905</v>
      </c>
      <c r="K185" s="21">
        <v>6839</v>
      </c>
      <c r="L185" s="21">
        <v>2145911.69</v>
      </c>
      <c r="M185" s="21">
        <v>8194706.2199999997</v>
      </c>
      <c r="N185" s="22">
        <f t="shared" si="6"/>
        <v>0.90480271250946176</v>
      </c>
      <c r="O185" s="22">
        <f t="shared" si="5"/>
        <v>0.45593333333333336</v>
      </c>
    </row>
    <row r="186" spans="1:15" x14ac:dyDescent="0.3">
      <c r="A186" s="1" t="s">
        <v>170</v>
      </c>
      <c r="B186" s="16" t="s">
        <v>420</v>
      </c>
      <c r="C186" s="17" t="s">
        <v>7</v>
      </c>
      <c r="D186" s="17" t="s">
        <v>4</v>
      </c>
      <c r="E186" s="18">
        <v>45943</v>
      </c>
      <c r="F186" s="19">
        <v>10</v>
      </c>
      <c r="H186" s="20">
        <v>1</v>
      </c>
      <c r="I186" s="21">
        <v>634999.70999999985</v>
      </c>
      <c r="J186" s="21">
        <v>1859</v>
      </c>
      <c r="K186" s="21">
        <v>1859</v>
      </c>
      <c r="L186" s="21">
        <v>717962.39</v>
      </c>
      <c r="M186" s="21">
        <v>3000000</v>
      </c>
      <c r="N186" s="22">
        <f t="shared" si="6"/>
        <v>1.1306499494306859</v>
      </c>
      <c r="O186" s="22">
        <f t="shared" si="5"/>
        <v>0.37180000000000002</v>
      </c>
    </row>
    <row r="187" spans="1:15" x14ac:dyDescent="0.3">
      <c r="A187" s="1" t="s">
        <v>347</v>
      </c>
      <c r="B187" s="16" t="s">
        <v>56</v>
      </c>
      <c r="C187" s="17" t="s">
        <v>7</v>
      </c>
      <c r="D187" s="17" t="s">
        <v>4</v>
      </c>
      <c r="E187" s="18">
        <v>45747</v>
      </c>
      <c r="F187" s="19">
        <v>3</v>
      </c>
      <c r="H187" s="20">
        <v>1</v>
      </c>
      <c r="I187" s="21">
        <v>1939106.2200000039</v>
      </c>
      <c r="J187" s="21">
        <v>6117</v>
      </c>
      <c r="K187" s="21">
        <v>5398</v>
      </c>
      <c r="L187" s="21">
        <v>2191187.81</v>
      </c>
      <c r="M187" s="21">
        <v>2191187.81</v>
      </c>
      <c r="N187" s="22">
        <f t="shared" si="6"/>
        <v>1.1299988558646341</v>
      </c>
      <c r="O187" s="22">
        <f t="shared" si="5"/>
        <v>1.0795999999999999</v>
      </c>
    </row>
    <row r="188" spans="1:15" x14ac:dyDescent="0.3">
      <c r="A188" s="1" t="s">
        <v>223</v>
      </c>
      <c r="B188" s="16" t="s">
        <v>395</v>
      </c>
      <c r="C188" s="17" t="s">
        <v>7</v>
      </c>
      <c r="D188" s="17" t="s">
        <v>18</v>
      </c>
      <c r="E188" s="18">
        <v>45882</v>
      </c>
      <c r="F188" s="19">
        <v>8</v>
      </c>
      <c r="H188" s="20">
        <v>1</v>
      </c>
      <c r="I188" s="21">
        <v>6148259.2200000277</v>
      </c>
      <c r="J188" s="21">
        <v>21369</v>
      </c>
      <c r="K188" s="21">
        <v>17183</v>
      </c>
      <c r="L188" s="21">
        <v>6947528.0999999996</v>
      </c>
      <c r="M188" s="21">
        <v>6947528.0999999996</v>
      </c>
      <c r="N188" s="22">
        <f t="shared" si="6"/>
        <v>1.1299992162659609</v>
      </c>
      <c r="O188" s="22">
        <f t="shared" si="5"/>
        <v>1.1455333333333333</v>
      </c>
    </row>
    <row r="189" spans="1:15" x14ac:dyDescent="0.3">
      <c r="A189" s="1" t="s">
        <v>219</v>
      </c>
      <c r="B189" s="16" t="s">
        <v>427</v>
      </c>
      <c r="C189" s="17" t="s">
        <v>7</v>
      </c>
      <c r="D189" s="17" t="s">
        <v>11</v>
      </c>
      <c r="E189" s="18">
        <v>46036</v>
      </c>
      <c r="F189" s="19" t="s">
        <v>428</v>
      </c>
      <c r="H189" s="20">
        <v>1</v>
      </c>
      <c r="I189" s="21">
        <v>6152302.6800000025</v>
      </c>
      <c r="J189" s="21">
        <v>21485</v>
      </c>
      <c r="K189" s="21">
        <v>18191</v>
      </c>
      <c r="L189" s="21">
        <v>5887526.3000000007</v>
      </c>
      <c r="M189" s="21">
        <v>9250000</v>
      </c>
      <c r="N189" s="22">
        <f t="shared" si="6"/>
        <v>0.9569630439573884</v>
      </c>
      <c r="O189" s="22">
        <f t="shared" si="5"/>
        <v>0.72763999999999995</v>
      </c>
    </row>
    <row r="190" spans="1:15" x14ac:dyDescent="0.3">
      <c r="A190" s="1" t="s">
        <v>265</v>
      </c>
      <c r="B190" s="16" t="s">
        <v>133</v>
      </c>
      <c r="C190" s="17" t="s">
        <v>7</v>
      </c>
      <c r="D190" s="17" t="s">
        <v>4</v>
      </c>
      <c r="E190" s="18">
        <v>45720</v>
      </c>
      <c r="F190" s="19">
        <v>3</v>
      </c>
      <c r="H190" s="20">
        <v>1</v>
      </c>
      <c r="I190" s="21">
        <v>881560.4300000004</v>
      </c>
      <c r="J190" s="21">
        <v>2558</v>
      </c>
      <c r="K190" s="21">
        <v>2324</v>
      </c>
      <c r="L190" s="21">
        <v>985163.98</v>
      </c>
      <c r="M190" s="21">
        <v>3000000</v>
      </c>
      <c r="N190" s="22">
        <f t="shared" si="6"/>
        <v>1.117522913318602</v>
      </c>
      <c r="O190" s="22">
        <f t="shared" si="5"/>
        <v>0.46479999999999999</v>
      </c>
    </row>
    <row r="191" spans="1:15" x14ac:dyDescent="0.3">
      <c r="A191" s="1" t="s">
        <v>106</v>
      </c>
      <c r="B191" s="16" t="s">
        <v>87</v>
      </c>
      <c r="C191" s="17" t="s">
        <v>7</v>
      </c>
      <c r="D191" s="17" t="s">
        <v>11</v>
      </c>
      <c r="E191" s="18">
        <v>45720</v>
      </c>
      <c r="F191" s="19">
        <v>3</v>
      </c>
      <c r="G191" s="18">
        <v>46332</v>
      </c>
      <c r="H191" s="20">
        <v>2</v>
      </c>
      <c r="I191" s="21">
        <v>14396963.70000004</v>
      </c>
      <c r="J191" s="21">
        <v>47903</v>
      </c>
      <c r="K191" s="21">
        <v>40764</v>
      </c>
      <c r="L191" s="21">
        <v>14903203.510000002</v>
      </c>
      <c r="M191" s="21">
        <v>19300000</v>
      </c>
      <c r="N191" s="22">
        <f t="shared" si="6"/>
        <v>1.0351629566170233</v>
      </c>
      <c r="O191" s="22">
        <f t="shared" si="5"/>
        <v>0.81528</v>
      </c>
    </row>
    <row r="192" spans="1:15" x14ac:dyDescent="0.3">
      <c r="B192" s="16" t="s">
        <v>83</v>
      </c>
      <c r="C192" s="17" t="s">
        <v>7</v>
      </c>
      <c r="D192" s="17" t="s">
        <v>11</v>
      </c>
      <c r="E192" s="18">
        <v>45720</v>
      </c>
      <c r="F192" s="19">
        <v>3</v>
      </c>
      <c r="G192" s="18">
        <v>46305</v>
      </c>
      <c r="H192" s="20">
        <v>2</v>
      </c>
      <c r="I192" s="21">
        <v>13394554.009999944</v>
      </c>
      <c r="J192" s="21">
        <v>46902</v>
      </c>
      <c r="K192" s="21">
        <v>38557</v>
      </c>
      <c r="L192" s="21">
        <v>14827774.420000002</v>
      </c>
      <c r="M192" s="21">
        <v>24411123.819999997</v>
      </c>
      <c r="N192" s="22">
        <f t="shared" si="6"/>
        <v>1.1070002337464959</v>
      </c>
      <c r="O192" s="22">
        <f t="shared" si="5"/>
        <v>0.77114000000000005</v>
      </c>
    </row>
    <row r="193" spans="1:15" x14ac:dyDescent="0.3">
      <c r="A193" s="1" t="s">
        <v>255</v>
      </c>
      <c r="B193" s="16" t="s">
        <v>344</v>
      </c>
      <c r="C193" s="17" t="s">
        <v>7</v>
      </c>
      <c r="D193" s="17" t="s">
        <v>4</v>
      </c>
      <c r="E193" s="18">
        <v>45826</v>
      </c>
      <c r="F193" s="19">
        <v>6</v>
      </c>
      <c r="H193" s="20">
        <v>1</v>
      </c>
      <c r="I193" s="21">
        <v>590754.86999999918</v>
      </c>
      <c r="J193" s="21">
        <v>1359</v>
      </c>
      <c r="K193" s="21">
        <v>1359</v>
      </c>
      <c r="L193" s="21">
        <v>598227.92999999993</v>
      </c>
      <c r="M193" s="21">
        <v>3000000</v>
      </c>
      <c r="N193" s="22">
        <f t="shared" si="6"/>
        <v>1.0126500184416605</v>
      </c>
      <c r="O193" s="22">
        <f t="shared" si="5"/>
        <v>0.27179999999999999</v>
      </c>
    </row>
    <row r="194" spans="1:15" x14ac:dyDescent="0.3">
      <c r="B194" s="16" t="s">
        <v>403</v>
      </c>
      <c r="C194" s="17" t="s">
        <v>7</v>
      </c>
      <c r="D194" s="17" t="s">
        <v>4</v>
      </c>
      <c r="E194" s="18">
        <v>45894</v>
      </c>
      <c r="F194" s="19">
        <v>8</v>
      </c>
      <c r="H194" s="20">
        <v>1</v>
      </c>
      <c r="I194" s="21">
        <v>421304.62999999983</v>
      </c>
      <c r="J194" s="21">
        <v>967</v>
      </c>
      <c r="K194" s="21">
        <v>967</v>
      </c>
      <c r="L194" s="21">
        <v>385264.99</v>
      </c>
      <c r="M194" s="21">
        <v>3000000</v>
      </c>
      <c r="N194" s="22">
        <f t="shared" si="6"/>
        <v>0.91445705213351236</v>
      </c>
      <c r="O194" s="22">
        <f t="shared" si="5"/>
        <v>0.19339999999999999</v>
      </c>
    </row>
    <row r="195" spans="1:15" x14ac:dyDescent="0.3">
      <c r="A195" s="1" t="s">
        <v>323</v>
      </c>
      <c r="B195" s="16" t="s">
        <v>184</v>
      </c>
      <c r="C195" s="17" t="s">
        <v>7</v>
      </c>
      <c r="D195" s="17" t="s">
        <v>4</v>
      </c>
      <c r="E195" s="18">
        <v>45774</v>
      </c>
      <c r="F195" s="19">
        <v>4</v>
      </c>
      <c r="H195" s="20">
        <v>1</v>
      </c>
      <c r="I195" s="21">
        <v>2010464.3600000036</v>
      </c>
      <c r="J195" s="21">
        <v>6094</v>
      </c>
      <c r="K195" s="21">
        <v>5414</v>
      </c>
      <c r="L195" s="21">
        <v>2192364.7300000004</v>
      </c>
      <c r="M195" s="21">
        <v>3000000</v>
      </c>
      <c r="N195" s="22">
        <f t="shared" si="6"/>
        <v>1.0904767941273013</v>
      </c>
      <c r="O195" s="22">
        <f t="shared" si="5"/>
        <v>1.0828</v>
      </c>
    </row>
    <row r="196" spans="1:15" x14ac:dyDescent="0.3">
      <c r="B196" s="16" t="s">
        <v>373</v>
      </c>
      <c r="C196" s="17" t="s">
        <v>7</v>
      </c>
      <c r="D196" s="17" t="s">
        <v>11</v>
      </c>
      <c r="E196" s="18">
        <v>45852</v>
      </c>
      <c r="F196" s="19">
        <v>7</v>
      </c>
      <c r="G196" s="18">
        <v>46393</v>
      </c>
      <c r="H196" s="20">
        <v>2</v>
      </c>
      <c r="I196" s="21">
        <v>13455915.499999955</v>
      </c>
      <c r="J196" s="21">
        <v>46706</v>
      </c>
      <c r="K196" s="21">
        <v>38213</v>
      </c>
      <c r="L196" s="21">
        <v>13838157.470000001</v>
      </c>
      <c r="M196" s="21">
        <v>18700182.16</v>
      </c>
      <c r="N196" s="22">
        <f t="shared" si="6"/>
        <v>1.0284069835307785</v>
      </c>
      <c r="O196" s="22">
        <f t="shared" ref="O196:O242" si="7">IF(D196="a",K196/25000,IF(D196="b",K196/15000,IF(D196="c",K196/5000)))/H196</f>
        <v>0.76426000000000005</v>
      </c>
    </row>
    <row r="197" spans="1:15" x14ac:dyDescent="0.3">
      <c r="A197" s="1" t="s">
        <v>27</v>
      </c>
      <c r="B197" s="16" t="s">
        <v>375</v>
      </c>
      <c r="C197" s="17" t="s">
        <v>7</v>
      </c>
      <c r="D197" s="17" t="s">
        <v>4</v>
      </c>
      <c r="E197" s="18">
        <v>45849</v>
      </c>
      <c r="F197" s="19">
        <v>7</v>
      </c>
      <c r="H197" s="20">
        <v>1</v>
      </c>
      <c r="I197" s="21">
        <v>1092925.1899999969</v>
      </c>
      <c r="J197" s="21">
        <v>3135</v>
      </c>
      <c r="K197" s="21">
        <v>3095</v>
      </c>
      <c r="L197" s="21">
        <v>1127716.53</v>
      </c>
      <c r="M197" s="21">
        <v>3000000</v>
      </c>
      <c r="N197" s="22">
        <f t="shared" si="6"/>
        <v>1.031833230964329</v>
      </c>
      <c r="O197" s="22">
        <f t="shared" si="7"/>
        <v>0.61899999999999999</v>
      </c>
    </row>
    <row r="198" spans="1:15" x14ac:dyDescent="0.3">
      <c r="A198" s="1" t="s">
        <v>21</v>
      </c>
      <c r="B198" s="16" t="s">
        <v>89</v>
      </c>
      <c r="C198" s="17" t="s">
        <v>7</v>
      </c>
      <c r="D198" s="17" t="s">
        <v>11</v>
      </c>
      <c r="E198" s="18">
        <v>45734</v>
      </c>
      <c r="F198" s="19">
        <v>3</v>
      </c>
      <c r="G198" s="18">
        <v>46308</v>
      </c>
      <c r="H198" s="20">
        <v>2</v>
      </c>
      <c r="I198" s="21">
        <v>14279065.839999946</v>
      </c>
      <c r="J198" s="21">
        <v>47418</v>
      </c>
      <c r="K198" s="21">
        <v>39440</v>
      </c>
      <c r="L198" s="21">
        <v>14884979.360000001</v>
      </c>
      <c r="M198" s="21">
        <v>18250000</v>
      </c>
      <c r="N198" s="22">
        <f t="shared" si="6"/>
        <v>1.0424336946680861</v>
      </c>
      <c r="O198" s="22">
        <f t="shared" si="7"/>
        <v>0.78879999999999995</v>
      </c>
    </row>
    <row r="199" spans="1:15" x14ac:dyDescent="0.3">
      <c r="A199" s="1" t="s">
        <v>298</v>
      </c>
      <c r="B199" s="16" t="s">
        <v>135</v>
      </c>
      <c r="C199" s="17" t="s">
        <v>7</v>
      </c>
      <c r="D199" s="17" t="s">
        <v>11</v>
      </c>
      <c r="E199" s="18">
        <v>45722</v>
      </c>
      <c r="F199" s="19">
        <v>3</v>
      </c>
      <c r="H199" s="20">
        <v>1</v>
      </c>
      <c r="I199" s="21">
        <v>4511851.1300000325</v>
      </c>
      <c r="J199" s="21">
        <v>11803</v>
      </c>
      <c r="K199" s="21">
        <v>10316</v>
      </c>
      <c r="L199" s="21">
        <v>4643093.51</v>
      </c>
      <c r="M199" s="21">
        <v>9700000</v>
      </c>
      <c r="N199" s="22">
        <f t="shared" si="6"/>
        <v>1.029088366663367</v>
      </c>
      <c r="O199" s="22">
        <f t="shared" si="7"/>
        <v>0.41264000000000001</v>
      </c>
    </row>
    <row r="200" spans="1:15" x14ac:dyDescent="0.3">
      <c r="A200" s="1" t="s">
        <v>392</v>
      </c>
      <c r="B200" s="23" t="s">
        <v>24</v>
      </c>
      <c r="C200" s="17" t="s">
        <v>7</v>
      </c>
      <c r="D200" s="17" t="s">
        <v>11</v>
      </c>
      <c r="E200" s="18">
        <v>45707</v>
      </c>
      <c r="F200" s="19">
        <v>2</v>
      </c>
      <c r="G200" s="18">
        <v>46456</v>
      </c>
      <c r="H200" s="20">
        <v>4</v>
      </c>
      <c r="I200" s="21">
        <v>38970347.729999572</v>
      </c>
      <c r="J200" s="21">
        <v>133359</v>
      </c>
      <c r="K200" s="21">
        <v>110598</v>
      </c>
      <c r="L200" s="21">
        <v>40145167.050000004</v>
      </c>
      <c r="M200" s="21">
        <v>46000000</v>
      </c>
      <c r="N200" s="22">
        <f t="shared" si="6"/>
        <v>1.0301464931270308</v>
      </c>
      <c r="O200" s="22">
        <f t="shared" si="7"/>
        <v>1.10598</v>
      </c>
    </row>
    <row r="201" spans="1:15" x14ac:dyDescent="0.3">
      <c r="A201" s="28" t="s">
        <v>290</v>
      </c>
      <c r="B201" s="16" t="s">
        <v>216</v>
      </c>
      <c r="C201" s="17" t="s">
        <v>7</v>
      </c>
      <c r="D201" s="17" t="s">
        <v>4</v>
      </c>
      <c r="E201" s="18">
        <v>45776</v>
      </c>
      <c r="F201" s="19">
        <v>4</v>
      </c>
      <c r="H201" s="20">
        <v>1</v>
      </c>
      <c r="I201" s="21">
        <v>923907.85999999929</v>
      </c>
      <c r="J201" s="21">
        <v>2326</v>
      </c>
      <c r="K201" s="21">
        <v>2326</v>
      </c>
      <c r="L201" s="21">
        <v>967402.91</v>
      </c>
      <c r="M201" s="21">
        <v>3000000</v>
      </c>
      <c r="N201" s="22">
        <f t="shared" ref="N201:N242" si="8">IFERROR(L201/I201,"")</f>
        <v>1.0470772594141593</v>
      </c>
      <c r="O201" s="22">
        <f t="shared" si="7"/>
        <v>0.4652</v>
      </c>
    </row>
    <row r="202" spans="1:15" x14ac:dyDescent="0.3">
      <c r="A202" s="1" t="s">
        <v>308</v>
      </c>
      <c r="B202" s="16" t="s">
        <v>144</v>
      </c>
      <c r="C202" s="17" t="s">
        <v>7</v>
      </c>
      <c r="D202" s="17" t="s">
        <v>4</v>
      </c>
      <c r="E202" s="18">
        <v>45719</v>
      </c>
      <c r="F202" s="19">
        <v>3</v>
      </c>
      <c r="H202" s="20">
        <v>1</v>
      </c>
      <c r="I202" s="24">
        <v>448008.72999999957</v>
      </c>
      <c r="J202" s="24">
        <v>1298</v>
      </c>
      <c r="K202" s="24">
        <v>1298</v>
      </c>
      <c r="L202" s="21">
        <v>530551.75</v>
      </c>
      <c r="M202" s="21">
        <v>3000000</v>
      </c>
      <c r="N202" s="22">
        <f t="shared" si="8"/>
        <v>1.1842442222052247</v>
      </c>
      <c r="O202" s="22">
        <f t="shared" si="7"/>
        <v>0.2596</v>
      </c>
    </row>
    <row r="203" spans="1:15" x14ac:dyDescent="0.3">
      <c r="A203" s="1" t="s">
        <v>386</v>
      </c>
      <c r="B203" s="16" t="s">
        <v>58</v>
      </c>
      <c r="C203" s="17" t="s">
        <v>7</v>
      </c>
      <c r="D203" s="17" t="s">
        <v>18</v>
      </c>
      <c r="E203" s="18">
        <v>45719</v>
      </c>
      <c r="F203" s="19">
        <v>3</v>
      </c>
      <c r="H203" s="20">
        <v>1</v>
      </c>
      <c r="I203" s="24">
        <v>5228567.4899999499</v>
      </c>
      <c r="J203" s="24">
        <v>17595</v>
      </c>
      <c r="K203" s="24">
        <v>15196</v>
      </c>
      <c r="L203" s="21">
        <v>5917707.9100000001</v>
      </c>
      <c r="M203" s="21">
        <v>5908279.54</v>
      </c>
      <c r="N203" s="22">
        <f t="shared" si="8"/>
        <v>1.1318029118526414</v>
      </c>
      <c r="O203" s="22">
        <f t="shared" si="7"/>
        <v>1.0130666666666666</v>
      </c>
    </row>
    <row r="204" spans="1:15" x14ac:dyDescent="0.3">
      <c r="B204" s="16" t="s">
        <v>422</v>
      </c>
      <c r="C204" s="17" t="s">
        <v>7</v>
      </c>
      <c r="D204" s="17" t="s">
        <v>11</v>
      </c>
      <c r="E204" s="18">
        <v>45954</v>
      </c>
      <c r="F204" s="19">
        <v>10</v>
      </c>
      <c r="H204" s="20">
        <v>1</v>
      </c>
      <c r="I204" s="24">
        <v>2661406.1199999982</v>
      </c>
      <c r="J204" s="24">
        <v>8368</v>
      </c>
      <c r="K204" s="24">
        <v>8224</v>
      </c>
      <c r="L204" s="21">
        <v>1763953.6400000001</v>
      </c>
      <c r="M204" s="21">
        <v>9000000</v>
      </c>
      <c r="N204" s="22">
        <f t="shared" si="8"/>
        <v>0.66279010435280783</v>
      </c>
      <c r="O204" s="22">
        <f t="shared" si="7"/>
        <v>0.32895999999999997</v>
      </c>
    </row>
    <row r="205" spans="1:15" x14ac:dyDescent="0.3">
      <c r="A205" s="1" t="s">
        <v>339</v>
      </c>
      <c r="B205" s="16" t="s">
        <v>196</v>
      </c>
      <c r="C205" s="17" t="s">
        <v>7</v>
      </c>
      <c r="D205" s="17" t="s">
        <v>11</v>
      </c>
      <c r="E205" s="18">
        <v>45775</v>
      </c>
      <c r="F205" s="19">
        <v>4</v>
      </c>
      <c r="G205" s="18">
        <v>46498</v>
      </c>
      <c r="H205" s="20">
        <v>3</v>
      </c>
      <c r="I205" s="24">
        <v>19767416.860000011</v>
      </c>
      <c r="J205" s="24">
        <v>67055</v>
      </c>
      <c r="K205" s="24">
        <v>56295</v>
      </c>
      <c r="L205" s="21">
        <v>21238551.210000001</v>
      </c>
      <c r="M205" s="21">
        <v>27500000</v>
      </c>
      <c r="N205" s="22">
        <f t="shared" si="8"/>
        <v>1.0744221847709843</v>
      </c>
      <c r="O205" s="22">
        <f t="shared" si="7"/>
        <v>0.75059999999999993</v>
      </c>
    </row>
    <row r="206" spans="1:15" x14ac:dyDescent="0.3">
      <c r="A206" s="1" t="s">
        <v>152</v>
      </c>
      <c r="B206" s="16" t="s">
        <v>202</v>
      </c>
      <c r="C206" s="17" t="s">
        <v>7</v>
      </c>
      <c r="D206" s="17" t="s">
        <v>4</v>
      </c>
      <c r="E206" s="18">
        <v>45771</v>
      </c>
      <c r="F206" s="19">
        <v>4</v>
      </c>
      <c r="H206" s="20">
        <v>1</v>
      </c>
      <c r="I206" s="24">
        <v>1447303.2599999998</v>
      </c>
      <c r="J206" s="24">
        <v>4290</v>
      </c>
      <c r="K206" s="24">
        <v>4290</v>
      </c>
      <c r="L206" s="21">
        <v>1425796.3800000001</v>
      </c>
      <c r="M206" s="21">
        <v>3000000</v>
      </c>
      <c r="N206" s="22">
        <f t="shared" si="8"/>
        <v>0.98514003208975043</v>
      </c>
      <c r="O206" s="22">
        <f t="shared" si="7"/>
        <v>0.85799999999999998</v>
      </c>
    </row>
    <row r="207" spans="1:15" x14ac:dyDescent="0.3">
      <c r="A207" s="1" t="s">
        <v>160</v>
      </c>
      <c r="B207" s="16" t="s">
        <v>208</v>
      </c>
      <c r="C207" s="17" t="s">
        <v>7</v>
      </c>
      <c r="D207" s="17" t="s">
        <v>4</v>
      </c>
      <c r="E207" s="18">
        <v>45772</v>
      </c>
      <c r="F207" s="19">
        <v>4</v>
      </c>
      <c r="H207" s="20">
        <v>1</v>
      </c>
      <c r="I207" s="24">
        <v>1479402.2700000007</v>
      </c>
      <c r="J207" s="24">
        <v>4193</v>
      </c>
      <c r="K207" s="24">
        <v>3888</v>
      </c>
      <c r="L207" s="21">
        <v>1434620.04</v>
      </c>
      <c r="M207" s="21">
        <v>3000000</v>
      </c>
      <c r="N207" s="22">
        <f t="shared" si="8"/>
        <v>0.96972951109504468</v>
      </c>
      <c r="O207" s="22">
        <f t="shared" si="7"/>
        <v>0.77759999999999996</v>
      </c>
    </row>
    <row r="208" spans="1:15" x14ac:dyDescent="0.3">
      <c r="A208" s="1" t="s">
        <v>84</v>
      </c>
      <c r="B208" s="16" t="s">
        <v>334</v>
      </c>
      <c r="C208" s="17" t="s">
        <v>7</v>
      </c>
      <c r="D208" s="17" t="s">
        <v>4</v>
      </c>
      <c r="E208" s="18">
        <v>45817</v>
      </c>
      <c r="F208" s="19">
        <v>6</v>
      </c>
      <c r="H208" s="20">
        <v>1</v>
      </c>
      <c r="I208" s="24">
        <v>999157.32000000053</v>
      </c>
      <c r="J208" s="24">
        <v>2627</v>
      </c>
      <c r="K208" s="24">
        <v>2627</v>
      </c>
      <c r="L208" s="21">
        <v>989284.96000000008</v>
      </c>
      <c r="M208" s="21">
        <v>3000000</v>
      </c>
      <c r="N208" s="22">
        <f t="shared" si="8"/>
        <v>0.99011931374330475</v>
      </c>
      <c r="O208" s="22">
        <f t="shared" si="7"/>
        <v>0.52539999999999998</v>
      </c>
    </row>
    <row r="209" spans="1:15" x14ac:dyDescent="0.3">
      <c r="B209" s="16" t="s">
        <v>105</v>
      </c>
      <c r="C209" s="17" t="s">
        <v>7</v>
      </c>
      <c r="D209" s="17" t="s">
        <v>11</v>
      </c>
      <c r="E209" s="18">
        <v>45723</v>
      </c>
      <c r="F209" s="19">
        <v>3</v>
      </c>
      <c r="G209" s="18">
        <v>46386</v>
      </c>
      <c r="H209" s="20">
        <v>2</v>
      </c>
      <c r="I209" s="24">
        <v>14607499.860000102</v>
      </c>
      <c r="J209" s="24">
        <v>42388</v>
      </c>
      <c r="K209" s="24">
        <v>36710</v>
      </c>
      <c r="L209" s="21">
        <v>15262872.130000001</v>
      </c>
      <c r="M209" s="21">
        <v>27500000</v>
      </c>
      <c r="N209" s="22">
        <f t="shared" si="8"/>
        <v>1.0448654647462645</v>
      </c>
      <c r="O209" s="22">
        <f t="shared" si="7"/>
        <v>0.73419999999999996</v>
      </c>
    </row>
    <row r="210" spans="1:15" x14ac:dyDescent="0.3">
      <c r="A210" s="1" t="s">
        <v>306</v>
      </c>
      <c r="B210" s="16" t="s">
        <v>336</v>
      </c>
      <c r="C210" s="17" t="s">
        <v>7</v>
      </c>
      <c r="D210" s="17" t="s">
        <v>4</v>
      </c>
      <c r="E210" s="18">
        <v>45811</v>
      </c>
      <c r="F210" s="19">
        <v>6</v>
      </c>
      <c r="H210" s="20">
        <v>1</v>
      </c>
      <c r="I210" s="24">
        <v>903409.59000000125</v>
      </c>
      <c r="J210" s="24">
        <v>2153</v>
      </c>
      <c r="K210" s="24">
        <v>2153</v>
      </c>
      <c r="L210" s="21">
        <v>926372.46</v>
      </c>
      <c r="M210" s="21">
        <v>3000000</v>
      </c>
      <c r="N210" s="22">
        <f t="shared" si="8"/>
        <v>1.025418005580391</v>
      </c>
      <c r="O210" s="22">
        <f t="shared" si="7"/>
        <v>0.43059999999999998</v>
      </c>
    </row>
    <row r="211" spans="1:15" x14ac:dyDescent="0.3">
      <c r="A211" s="1" t="s">
        <v>370</v>
      </c>
      <c r="B211" s="16" t="s">
        <v>379</v>
      </c>
      <c r="C211" s="17" t="s">
        <v>7</v>
      </c>
      <c r="D211" s="17" t="s">
        <v>4</v>
      </c>
      <c r="E211" s="18">
        <v>45845</v>
      </c>
      <c r="F211" s="19">
        <v>7</v>
      </c>
      <c r="H211" s="20">
        <v>1</v>
      </c>
      <c r="I211" s="24">
        <v>883318.5399999998</v>
      </c>
      <c r="J211" s="24">
        <v>2327</v>
      </c>
      <c r="K211" s="24">
        <v>2327</v>
      </c>
      <c r="L211" s="21">
        <v>908223.67999999993</v>
      </c>
      <c r="M211" s="21">
        <v>2000000</v>
      </c>
      <c r="N211" s="22">
        <f t="shared" si="8"/>
        <v>1.0281949702991631</v>
      </c>
      <c r="O211" s="22">
        <f t="shared" si="7"/>
        <v>0.46539999999999998</v>
      </c>
    </row>
    <row r="212" spans="1:15" x14ac:dyDescent="0.3">
      <c r="A212" s="1" t="s">
        <v>315</v>
      </c>
      <c r="B212" s="16" t="s">
        <v>338</v>
      </c>
      <c r="C212" s="17" t="s">
        <v>7</v>
      </c>
      <c r="D212" s="17" t="s">
        <v>4</v>
      </c>
      <c r="E212" s="18">
        <v>45818</v>
      </c>
      <c r="F212" s="19">
        <v>6</v>
      </c>
      <c r="H212" s="20">
        <v>1</v>
      </c>
      <c r="I212" s="24">
        <v>849750.32999999914</v>
      </c>
      <c r="J212" s="24">
        <v>1988</v>
      </c>
      <c r="K212" s="24">
        <v>1947</v>
      </c>
      <c r="L212" s="21">
        <v>888482.15</v>
      </c>
      <c r="M212" s="21">
        <v>3000000</v>
      </c>
      <c r="N212" s="22">
        <f t="shared" si="8"/>
        <v>1.0455802353145316</v>
      </c>
      <c r="O212" s="22">
        <f t="shared" si="7"/>
        <v>0.38940000000000002</v>
      </c>
    </row>
    <row r="213" spans="1:15" x14ac:dyDescent="0.3">
      <c r="A213" s="1" t="s">
        <v>362</v>
      </c>
      <c r="B213" s="16" t="s">
        <v>68</v>
      </c>
      <c r="C213" s="17" t="s">
        <v>7</v>
      </c>
      <c r="D213" s="17" t="s">
        <v>4</v>
      </c>
      <c r="E213" s="18">
        <v>45723</v>
      </c>
      <c r="F213" s="19">
        <v>3</v>
      </c>
      <c r="G213" s="18">
        <v>46273</v>
      </c>
      <c r="H213" s="20">
        <v>2</v>
      </c>
      <c r="I213" s="24">
        <v>4601909.6000000015</v>
      </c>
      <c r="J213" s="24">
        <v>11311</v>
      </c>
      <c r="K213" s="24">
        <v>10653</v>
      </c>
      <c r="L213" s="21">
        <v>4718316.34</v>
      </c>
      <c r="M213" s="21">
        <v>7000000</v>
      </c>
      <c r="N213" s="22">
        <f t="shared" si="8"/>
        <v>1.0252953121895307</v>
      </c>
      <c r="O213" s="22">
        <f t="shared" si="7"/>
        <v>1.0652999999999999</v>
      </c>
    </row>
    <row r="214" spans="1:15" x14ac:dyDescent="0.3">
      <c r="A214" s="1" t="s">
        <v>278</v>
      </c>
      <c r="B214" s="16" t="s">
        <v>102</v>
      </c>
      <c r="C214" s="17" t="s">
        <v>7</v>
      </c>
      <c r="D214" s="17" t="s">
        <v>11</v>
      </c>
      <c r="E214" s="18">
        <v>45744</v>
      </c>
      <c r="F214" s="19">
        <v>3</v>
      </c>
      <c r="G214" s="18" t="s">
        <v>103</v>
      </c>
      <c r="H214" s="20">
        <v>2</v>
      </c>
      <c r="I214" s="24">
        <v>11636782.849999968</v>
      </c>
      <c r="J214" s="24">
        <v>37678</v>
      </c>
      <c r="K214" s="24">
        <v>33777</v>
      </c>
      <c r="L214" s="21">
        <v>12276195.409999998</v>
      </c>
      <c r="M214" s="21">
        <v>15000000</v>
      </c>
      <c r="N214" s="22">
        <f t="shared" si="8"/>
        <v>1.054947537325579</v>
      </c>
      <c r="O214" s="22">
        <f t="shared" si="7"/>
        <v>0.67554000000000003</v>
      </c>
    </row>
    <row r="215" spans="1:15" x14ac:dyDescent="0.3">
      <c r="A215" s="1" t="s">
        <v>128</v>
      </c>
      <c r="B215" s="16" t="s">
        <v>123</v>
      </c>
      <c r="C215" s="17" t="s">
        <v>7</v>
      </c>
      <c r="D215" s="17" t="s">
        <v>11</v>
      </c>
      <c r="E215" s="18">
        <v>45723</v>
      </c>
      <c r="F215" s="19">
        <v>3</v>
      </c>
      <c r="H215" s="20">
        <v>1</v>
      </c>
      <c r="I215" s="24">
        <v>5209004.2800000152</v>
      </c>
      <c r="J215" s="24">
        <v>17216</v>
      </c>
      <c r="K215" s="24">
        <v>14892</v>
      </c>
      <c r="L215" s="21">
        <v>5478338.5699999994</v>
      </c>
      <c r="M215" s="21">
        <v>9000000</v>
      </c>
      <c r="N215" s="22">
        <f t="shared" si="8"/>
        <v>1.0517055228835372</v>
      </c>
      <c r="O215" s="22">
        <f t="shared" si="7"/>
        <v>0.59567999999999999</v>
      </c>
    </row>
    <row r="216" spans="1:15" x14ac:dyDescent="0.3">
      <c r="A216" s="1" t="s">
        <v>276</v>
      </c>
      <c r="B216" s="16" t="s">
        <v>28</v>
      </c>
      <c r="C216" s="17" t="s">
        <v>7</v>
      </c>
      <c r="D216" s="17" t="s">
        <v>11</v>
      </c>
      <c r="E216" s="18">
        <v>45707</v>
      </c>
      <c r="F216" s="19">
        <v>2</v>
      </c>
      <c r="G216" s="18">
        <v>46312</v>
      </c>
      <c r="H216" s="20">
        <v>2</v>
      </c>
      <c r="I216" s="24">
        <v>15176176.979999902</v>
      </c>
      <c r="J216" s="24">
        <v>51621</v>
      </c>
      <c r="K216" s="24">
        <v>42158</v>
      </c>
      <c r="L216" s="21">
        <v>16810835.710000001</v>
      </c>
      <c r="M216" s="21">
        <v>18250000</v>
      </c>
      <c r="N216" s="22">
        <f t="shared" si="8"/>
        <v>1.1077121551860099</v>
      </c>
      <c r="O216" s="22">
        <f t="shared" si="7"/>
        <v>0.84316000000000002</v>
      </c>
    </row>
    <row r="217" spans="1:15" x14ac:dyDescent="0.3">
      <c r="B217" s="16" t="s">
        <v>22</v>
      </c>
      <c r="C217" s="17" t="s">
        <v>7</v>
      </c>
      <c r="D217" s="17" t="s">
        <v>18</v>
      </c>
      <c r="E217" s="18">
        <v>45716</v>
      </c>
      <c r="F217" s="19">
        <v>2</v>
      </c>
      <c r="G217" s="18">
        <v>46498</v>
      </c>
      <c r="H217" s="20">
        <v>2</v>
      </c>
      <c r="I217" s="24">
        <v>5600560.6800000379</v>
      </c>
      <c r="J217" s="24">
        <v>16217</v>
      </c>
      <c r="K217" s="24">
        <v>15042</v>
      </c>
      <c r="L217" s="21">
        <v>5488956.8600000003</v>
      </c>
      <c r="M217" s="21">
        <v>8000000</v>
      </c>
      <c r="N217" s="22">
        <f t="shared" si="8"/>
        <v>0.98007274157414592</v>
      </c>
      <c r="O217" s="22">
        <f t="shared" si="7"/>
        <v>0.50139999999999996</v>
      </c>
    </row>
    <row r="218" spans="1:15" x14ac:dyDescent="0.3">
      <c r="A218" s="1" t="s">
        <v>205</v>
      </c>
      <c r="B218" s="16" t="s">
        <v>536</v>
      </c>
      <c r="C218" s="17" t="s">
        <v>7</v>
      </c>
      <c r="D218" s="17" t="s">
        <v>18</v>
      </c>
      <c r="E218" s="18">
        <v>46134</v>
      </c>
      <c r="F218" s="19" t="s">
        <v>530</v>
      </c>
      <c r="H218" s="20">
        <v>1</v>
      </c>
      <c r="I218" s="24">
        <v>199138.83</v>
      </c>
      <c r="J218" s="24">
        <v>617</v>
      </c>
      <c r="K218" s="24">
        <v>617</v>
      </c>
      <c r="L218" s="21">
        <v>0</v>
      </c>
      <c r="M218" s="21">
        <v>7500000</v>
      </c>
      <c r="N218" s="22">
        <f t="shared" si="8"/>
        <v>0</v>
      </c>
      <c r="O218" s="22">
        <f t="shared" si="7"/>
        <v>4.1133333333333334E-2</v>
      </c>
    </row>
    <row r="219" spans="1:15" x14ac:dyDescent="0.3">
      <c r="A219" s="1" t="s">
        <v>176</v>
      </c>
      <c r="B219" s="16" t="s">
        <v>277</v>
      </c>
      <c r="C219" s="17" t="s">
        <v>7</v>
      </c>
      <c r="D219" s="17" t="s">
        <v>4</v>
      </c>
      <c r="E219" s="18">
        <v>45783</v>
      </c>
      <c r="F219" s="19">
        <v>5</v>
      </c>
      <c r="H219" s="20">
        <v>1</v>
      </c>
      <c r="I219" s="24">
        <v>826962.56</v>
      </c>
      <c r="J219" s="24">
        <v>2440</v>
      </c>
      <c r="K219" s="24">
        <v>2439</v>
      </c>
      <c r="L219" s="21">
        <v>934467.81</v>
      </c>
      <c r="M219" s="21">
        <v>3600000</v>
      </c>
      <c r="N219" s="22">
        <f t="shared" si="8"/>
        <v>1.1300001417234657</v>
      </c>
      <c r="O219" s="22">
        <f t="shared" si="7"/>
        <v>0.48780000000000001</v>
      </c>
    </row>
    <row r="220" spans="1:15" x14ac:dyDescent="0.3">
      <c r="A220" s="1" t="s">
        <v>360</v>
      </c>
      <c r="B220" s="16" t="s">
        <v>402</v>
      </c>
      <c r="C220" s="17" t="s">
        <v>7</v>
      </c>
      <c r="D220" s="17" t="s">
        <v>4</v>
      </c>
      <c r="E220" s="18">
        <v>45895</v>
      </c>
      <c r="F220" s="19">
        <v>8</v>
      </c>
      <c r="H220" s="20">
        <v>1</v>
      </c>
      <c r="I220" s="24">
        <v>462536.98</v>
      </c>
      <c r="J220" s="24">
        <v>1334</v>
      </c>
      <c r="K220" s="24">
        <v>1333</v>
      </c>
      <c r="L220" s="21">
        <v>543444.77</v>
      </c>
      <c r="M220" s="21">
        <v>3000000</v>
      </c>
      <c r="N220" s="22">
        <f t="shared" si="8"/>
        <v>1.1749217759842685</v>
      </c>
      <c r="O220" s="22">
        <f t="shared" si="7"/>
        <v>0.2666</v>
      </c>
    </row>
    <row r="221" spans="1:15" x14ac:dyDescent="0.3">
      <c r="A221" s="1" t="s">
        <v>382</v>
      </c>
      <c r="B221" s="16" t="s">
        <v>206</v>
      </c>
      <c r="C221" s="17" t="s">
        <v>7</v>
      </c>
      <c r="D221" s="17" t="s">
        <v>4</v>
      </c>
      <c r="E221" s="18">
        <v>45748</v>
      </c>
      <c r="F221" s="19">
        <v>4</v>
      </c>
      <c r="G221" s="18">
        <v>46472</v>
      </c>
      <c r="H221" s="20">
        <v>2</v>
      </c>
      <c r="I221" s="24">
        <v>2747815.3799999985</v>
      </c>
      <c r="J221" s="24">
        <v>8132</v>
      </c>
      <c r="K221" s="24">
        <v>7578</v>
      </c>
      <c r="L221" s="21">
        <v>2750541.1199999996</v>
      </c>
      <c r="M221" s="21">
        <v>4426237.33</v>
      </c>
      <c r="N221" s="22">
        <f t="shared" si="8"/>
        <v>1.0009919662069877</v>
      </c>
      <c r="O221" s="22">
        <f t="shared" si="7"/>
        <v>0.75780000000000003</v>
      </c>
    </row>
    <row r="222" spans="1:15" x14ac:dyDescent="0.3">
      <c r="A222" s="1" t="s">
        <v>286</v>
      </c>
      <c r="B222" s="16" t="s">
        <v>177</v>
      </c>
      <c r="C222" s="17" t="s">
        <v>7</v>
      </c>
      <c r="D222" s="17" t="s">
        <v>4</v>
      </c>
      <c r="E222" s="18">
        <v>45775</v>
      </c>
      <c r="F222" s="19">
        <v>4</v>
      </c>
      <c r="G222" s="18">
        <v>46504</v>
      </c>
      <c r="H222" s="20">
        <v>2</v>
      </c>
      <c r="I222" s="24">
        <v>2415245.5800000005</v>
      </c>
      <c r="J222" s="24">
        <v>7638</v>
      </c>
      <c r="K222" s="24">
        <v>7073</v>
      </c>
      <c r="L222" s="21">
        <v>2395990.3799999994</v>
      </c>
      <c r="M222" s="21">
        <v>3000000</v>
      </c>
      <c r="N222" s="22">
        <f t="shared" si="8"/>
        <v>0.99202764300266266</v>
      </c>
      <c r="O222" s="22">
        <f t="shared" si="7"/>
        <v>0.70730000000000004</v>
      </c>
    </row>
    <row r="223" spans="1:15" x14ac:dyDescent="0.3">
      <c r="A223" s="1" t="s">
        <v>227</v>
      </c>
      <c r="B223" s="16" t="s">
        <v>361</v>
      </c>
      <c r="C223" s="17" t="s">
        <v>7</v>
      </c>
      <c r="D223" s="17" t="s">
        <v>4</v>
      </c>
      <c r="E223" s="18">
        <v>45839</v>
      </c>
      <c r="F223" s="19">
        <v>7</v>
      </c>
      <c r="H223" s="20">
        <v>1</v>
      </c>
      <c r="I223" s="24">
        <v>2088075.1699999885</v>
      </c>
      <c r="J223" s="24">
        <v>6048</v>
      </c>
      <c r="K223" s="24">
        <v>5798</v>
      </c>
      <c r="L223" s="21">
        <v>2156079.79</v>
      </c>
      <c r="M223" s="21">
        <v>6007368.6200000001</v>
      </c>
      <c r="N223" s="22">
        <f t="shared" si="8"/>
        <v>1.0325680899696785</v>
      </c>
      <c r="O223" s="22">
        <f t="shared" si="7"/>
        <v>1.1596</v>
      </c>
    </row>
    <row r="224" spans="1:15" x14ac:dyDescent="0.3">
      <c r="A224" s="1" t="s">
        <v>5</v>
      </c>
      <c r="B224" s="16" t="s">
        <v>6</v>
      </c>
      <c r="C224" s="17" t="s">
        <v>7</v>
      </c>
      <c r="D224" s="17" t="s">
        <v>4</v>
      </c>
      <c r="E224" s="18">
        <v>45709</v>
      </c>
      <c r="F224" s="19">
        <v>2</v>
      </c>
      <c r="H224" s="20">
        <v>1</v>
      </c>
      <c r="I224" s="24">
        <v>3117653.7099999972</v>
      </c>
      <c r="J224" s="24">
        <v>9893</v>
      </c>
      <c r="K224" s="24">
        <v>8823</v>
      </c>
      <c r="L224" s="21">
        <v>3522947.6100000003</v>
      </c>
      <c r="M224" s="21">
        <v>3522947.61</v>
      </c>
      <c r="N224" s="22">
        <f t="shared" si="8"/>
        <v>1.1299996528479115</v>
      </c>
      <c r="O224" s="22">
        <f t="shared" si="7"/>
        <v>1.7645999999999999</v>
      </c>
    </row>
    <row r="225" spans="1:15" x14ac:dyDescent="0.3">
      <c r="B225" s="16" t="s">
        <v>430</v>
      </c>
      <c r="C225" s="17" t="s">
        <v>7</v>
      </c>
      <c r="D225" s="17" t="s">
        <v>11</v>
      </c>
      <c r="E225" s="18">
        <v>46043</v>
      </c>
      <c r="F225" s="19" t="s">
        <v>428</v>
      </c>
      <c r="H225" s="20">
        <v>1</v>
      </c>
      <c r="I225" s="24">
        <v>2586244.5500000017</v>
      </c>
      <c r="J225" s="24">
        <v>7521</v>
      </c>
      <c r="K225" s="24">
        <v>7521</v>
      </c>
      <c r="L225" s="21">
        <v>2846834.16</v>
      </c>
      <c r="M225" s="21">
        <v>9250000</v>
      </c>
      <c r="N225" s="22">
        <f t="shared" si="8"/>
        <v>1.1007598488704398</v>
      </c>
      <c r="O225" s="22">
        <f t="shared" si="7"/>
        <v>0.30084</v>
      </c>
    </row>
    <row r="226" spans="1:15" x14ac:dyDescent="0.3">
      <c r="A226" s="1" t="s">
        <v>8</v>
      </c>
      <c r="B226" s="16" t="s">
        <v>264</v>
      </c>
      <c r="C226" s="17" t="s">
        <v>7</v>
      </c>
      <c r="D226" s="17" t="s">
        <v>4</v>
      </c>
      <c r="E226" s="18">
        <v>45783</v>
      </c>
      <c r="F226" s="19">
        <v>5</v>
      </c>
      <c r="H226" s="20">
        <v>1</v>
      </c>
      <c r="I226" s="24">
        <v>1603890.9199999992</v>
      </c>
      <c r="J226" s="24">
        <v>4274</v>
      </c>
      <c r="K226" s="24">
        <v>3893</v>
      </c>
      <c r="L226" s="21">
        <v>1711747.88</v>
      </c>
      <c r="M226" s="21">
        <v>3000000</v>
      </c>
      <c r="N226" s="22">
        <f t="shared" si="8"/>
        <v>1.0672470669015326</v>
      </c>
      <c r="O226" s="22">
        <f t="shared" si="7"/>
        <v>0.77859999999999996</v>
      </c>
    </row>
    <row r="227" spans="1:15" x14ac:dyDescent="0.3">
      <c r="A227" s="1" t="s">
        <v>116</v>
      </c>
      <c r="B227" s="16" t="s">
        <v>111</v>
      </c>
      <c r="C227" s="17" t="s">
        <v>75</v>
      </c>
      <c r="D227" s="17" t="s">
        <v>4</v>
      </c>
      <c r="E227" s="18">
        <v>45733</v>
      </c>
      <c r="F227" s="19">
        <v>3</v>
      </c>
      <c r="H227" s="20">
        <v>1</v>
      </c>
      <c r="I227" s="24">
        <v>1101420.5799999998</v>
      </c>
      <c r="J227" s="24">
        <v>3172</v>
      </c>
      <c r="K227" s="24">
        <v>3172</v>
      </c>
      <c r="L227" s="21">
        <v>1253141.04</v>
      </c>
      <c r="M227" s="21">
        <v>2589700</v>
      </c>
      <c r="N227" s="22">
        <f t="shared" si="8"/>
        <v>1.1377497958136937</v>
      </c>
      <c r="O227" s="22">
        <f t="shared" si="7"/>
        <v>0.63439999999999996</v>
      </c>
    </row>
    <row r="228" spans="1:15" x14ac:dyDescent="0.3">
      <c r="A228" s="1" t="s">
        <v>263</v>
      </c>
      <c r="B228" s="16" t="s">
        <v>74</v>
      </c>
      <c r="C228" s="17" t="s">
        <v>75</v>
      </c>
      <c r="D228" s="17" t="s">
        <v>4</v>
      </c>
      <c r="E228" s="18">
        <v>45741</v>
      </c>
      <c r="F228" s="19">
        <v>3</v>
      </c>
      <c r="H228" s="20">
        <v>1</v>
      </c>
      <c r="I228" s="24">
        <v>1563224.8199999977</v>
      </c>
      <c r="J228" s="24">
        <v>5006</v>
      </c>
      <c r="K228" s="24">
        <v>4532</v>
      </c>
      <c r="L228" s="21">
        <v>1400263.22</v>
      </c>
      <c r="M228" s="24">
        <v>1850000</v>
      </c>
      <c r="N228" s="22">
        <f t="shared" si="8"/>
        <v>0.89575293462907146</v>
      </c>
      <c r="O228" s="22">
        <f t="shared" si="7"/>
        <v>0.90639999999999998</v>
      </c>
    </row>
    <row r="229" spans="1:15" x14ac:dyDescent="0.3">
      <c r="B229" s="16" t="s">
        <v>269</v>
      </c>
      <c r="C229" s="17" t="s">
        <v>75</v>
      </c>
      <c r="D229" s="17" t="s">
        <v>11</v>
      </c>
      <c r="E229" s="18">
        <v>45803</v>
      </c>
      <c r="F229" s="19">
        <v>5</v>
      </c>
      <c r="H229" s="20">
        <v>1</v>
      </c>
      <c r="I229" s="24">
        <v>5928422.939999992</v>
      </c>
      <c r="J229" s="24">
        <v>18424</v>
      </c>
      <c r="K229" s="24">
        <v>16674</v>
      </c>
      <c r="L229" s="21">
        <v>6017178.5099999998</v>
      </c>
      <c r="M229" s="24">
        <v>9000000</v>
      </c>
      <c r="N229" s="22">
        <f t="shared" si="8"/>
        <v>1.0149711940086392</v>
      </c>
      <c r="O229" s="22">
        <f t="shared" si="7"/>
        <v>0.66696</v>
      </c>
    </row>
    <row r="230" spans="1:15" x14ac:dyDescent="0.3">
      <c r="A230" s="1" t="s">
        <v>390</v>
      </c>
      <c r="B230" s="16" t="s">
        <v>139</v>
      </c>
      <c r="C230" s="17" t="s">
        <v>75</v>
      </c>
      <c r="D230" s="17" t="s">
        <v>4</v>
      </c>
      <c r="E230" s="18">
        <v>45726</v>
      </c>
      <c r="F230" s="19">
        <v>3</v>
      </c>
      <c r="H230" s="20">
        <v>1</v>
      </c>
      <c r="I230" s="24">
        <v>563304.35000000021</v>
      </c>
      <c r="J230" s="24">
        <v>1535</v>
      </c>
      <c r="K230" s="24">
        <v>1535</v>
      </c>
      <c r="L230" s="21">
        <v>636533.81999999995</v>
      </c>
      <c r="M230" s="24">
        <v>2450000</v>
      </c>
      <c r="N230" s="22">
        <f t="shared" si="8"/>
        <v>1.1299998304646497</v>
      </c>
      <c r="O230" s="22">
        <f t="shared" si="7"/>
        <v>0.307</v>
      </c>
    </row>
    <row r="231" spans="1:15" x14ac:dyDescent="0.3">
      <c r="A231" s="1" t="s">
        <v>329</v>
      </c>
      <c r="B231" s="16" t="s">
        <v>260</v>
      </c>
      <c r="C231" s="17" t="s">
        <v>75</v>
      </c>
      <c r="D231" s="17" t="s">
        <v>4</v>
      </c>
      <c r="E231" s="18">
        <v>45806</v>
      </c>
      <c r="F231" s="19">
        <v>5</v>
      </c>
      <c r="H231" s="20">
        <v>1</v>
      </c>
      <c r="I231" s="24">
        <v>1547190.3199999989</v>
      </c>
      <c r="J231" s="24">
        <v>5098</v>
      </c>
      <c r="K231" s="24">
        <v>4538</v>
      </c>
      <c r="L231" s="21">
        <v>1748551</v>
      </c>
      <c r="M231" s="24">
        <v>1850000</v>
      </c>
      <c r="N231" s="22">
        <f t="shared" si="8"/>
        <v>1.1301460314203629</v>
      </c>
      <c r="O231" s="22">
        <f t="shared" si="7"/>
        <v>0.90759999999999996</v>
      </c>
    </row>
    <row r="232" spans="1:15" x14ac:dyDescent="0.3">
      <c r="B232" s="16" t="s">
        <v>232</v>
      </c>
      <c r="C232" s="17" t="s">
        <v>180</v>
      </c>
      <c r="D232" s="17" t="s">
        <v>4</v>
      </c>
      <c r="E232" s="18">
        <v>45777</v>
      </c>
      <c r="F232" s="19">
        <v>4</v>
      </c>
      <c r="H232" s="20">
        <v>1</v>
      </c>
      <c r="I232" s="24">
        <v>200590.14000000004</v>
      </c>
      <c r="J232" s="24">
        <v>546</v>
      </c>
      <c r="K232" s="24">
        <v>543</v>
      </c>
      <c r="L232" s="21">
        <v>224856.94</v>
      </c>
      <c r="M232" s="24">
        <v>1850000</v>
      </c>
      <c r="N232" s="22">
        <f t="shared" si="8"/>
        <v>1.1209770330685245</v>
      </c>
      <c r="O232" s="22">
        <f t="shared" si="7"/>
        <v>0.1086</v>
      </c>
    </row>
    <row r="233" spans="1:15" x14ac:dyDescent="0.3">
      <c r="A233" s="1" t="s">
        <v>310</v>
      </c>
      <c r="B233" s="16" t="s">
        <v>354</v>
      </c>
      <c r="C233" s="17" t="s">
        <v>180</v>
      </c>
      <c r="D233" s="17" t="s">
        <v>4</v>
      </c>
      <c r="E233" s="18">
        <v>45831</v>
      </c>
      <c r="F233" s="19">
        <v>6</v>
      </c>
      <c r="H233" s="20">
        <v>1</v>
      </c>
      <c r="I233" s="24">
        <v>149865.34999999998</v>
      </c>
      <c r="J233" s="24">
        <v>445</v>
      </c>
      <c r="K233" s="24">
        <v>445</v>
      </c>
      <c r="L233" s="21">
        <v>162429.33000000002</v>
      </c>
      <c r="M233" s="24">
        <v>3000000</v>
      </c>
      <c r="N233" s="22">
        <f t="shared" si="8"/>
        <v>1.0838351226617764</v>
      </c>
      <c r="O233" s="22">
        <f t="shared" si="7"/>
        <v>8.8999999999999996E-2</v>
      </c>
    </row>
    <row r="234" spans="1:15" x14ac:dyDescent="0.3">
      <c r="A234" s="1" t="s">
        <v>237</v>
      </c>
      <c r="B234" s="16" t="s">
        <v>188</v>
      </c>
      <c r="C234" s="17" t="s">
        <v>180</v>
      </c>
      <c r="D234" s="17" t="s">
        <v>4</v>
      </c>
      <c r="E234" s="18">
        <v>45771</v>
      </c>
      <c r="F234" s="19">
        <v>4</v>
      </c>
      <c r="H234" s="20">
        <v>1</v>
      </c>
      <c r="I234" s="24">
        <v>1941791.4900000002</v>
      </c>
      <c r="J234" s="24">
        <v>5735</v>
      </c>
      <c r="K234" s="24">
        <v>5245</v>
      </c>
      <c r="L234" s="21">
        <v>2172194.2000000002</v>
      </c>
      <c r="M234" s="24">
        <v>3000000</v>
      </c>
      <c r="N234" s="22">
        <f t="shared" si="8"/>
        <v>1.1186547119948496</v>
      </c>
      <c r="O234" s="22">
        <f t="shared" si="7"/>
        <v>1.0489999999999999</v>
      </c>
    </row>
    <row r="235" spans="1:15" x14ac:dyDescent="0.3">
      <c r="A235" s="1" t="s">
        <v>304</v>
      </c>
      <c r="B235" s="16" t="s">
        <v>326</v>
      </c>
      <c r="C235" s="17" t="s">
        <v>180</v>
      </c>
      <c r="D235" s="17" t="s">
        <v>4</v>
      </c>
      <c r="E235" s="18">
        <v>45838</v>
      </c>
      <c r="F235" s="19">
        <v>6</v>
      </c>
      <c r="H235" s="20">
        <v>1</v>
      </c>
      <c r="I235" s="24">
        <v>1383140.0799999982</v>
      </c>
      <c r="J235" s="24">
        <v>3519</v>
      </c>
      <c r="K235" s="24">
        <v>3519</v>
      </c>
      <c r="L235" s="21">
        <v>1543596.8699999999</v>
      </c>
      <c r="M235" s="24">
        <v>2850000</v>
      </c>
      <c r="N235" s="22"/>
      <c r="O235" s="22">
        <f t="shared" si="7"/>
        <v>0.70379999999999998</v>
      </c>
    </row>
    <row r="236" spans="1:15" x14ac:dyDescent="0.3">
      <c r="A236" s="1" t="s">
        <v>236</v>
      </c>
      <c r="B236" s="16" t="s">
        <v>179</v>
      </c>
      <c r="C236" s="17" t="s">
        <v>180</v>
      </c>
      <c r="D236" s="17" t="s">
        <v>4</v>
      </c>
      <c r="E236" s="18">
        <v>45750</v>
      </c>
      <c r="F236" s="19">
        <v>4</v>
      </c>
      <c r="H236" s="20">
        <v>1</v>
      </c>
      <c r="I236" s="24">
        <v>1814738.9500000002</v>
      </c>
      <c r="J236" s="24">
        <v>5538</v>
      </c>
      <c r="K236" s="24">
        <v>5538</v>
      </c>
      <c r="L236" s="21">
        <v>1777429.16</v>
      </c>
      <c r="M236" s="24">
        <v>3900000</v>
      </c>
      <c r="N236" s="22">
        <f t="shared" si="8"/>
        <v>0.97944068484340396</v>
      </c>
      <c r="O236" s="22">
        <f t="shared" si="7"/>
        <v>1.1075999999999999</v>
      </c>
    </row>
    <row r="237" spans="1:15" x14ac:dyDescent="0.3">
      <c r="B237" s="16" t="s">
        <v>383</v>
      </c>
      <c r="C237" s="17" t="s">
        <v>180</v>
      </c>
      <c r="D237" s="17" t="s">
        <v>4</v>
      </c>
      <c r="E237" s="18">
        <v>45839</v>
      </c>
      <c r="F237" s="19">
        <v>7</v>
      </c>
      <c r="H237" s="20">
        <v>1</v>
      </c>
      <c r="I237" s="24">
        <v>358390.50000000035</v>
      </c>
      <c r="J237" s="24">
        <v>1044</v>
      </c>
      <c r="K237" s="24">
        <v>1044</v>
      </c>
      <c r="L237" s="21">
        <v>405850.18</v>
      </c>
      <c r="M237" s="24">
        <v>3000000</v>
      </c>
      <c r="N237" s="22">
        <f t="shared" si="8"/>
        <v>1.1324244922786726</v>
      </c>
      <c r="O237" s="22">
        <f t="shared" si="7"/>
        <v>0.20880000000000001</v>
      </c>
    </row>
    <row r="238" spans="1:15" x14ac:dyDescent="0.3">
      <c r="A238" s="1" t="s">
        <v>288</v>
      </c>
      <c r="B238" s="16" t="s">
        <v>330</v>
      </c>
      <c r="C238" s="17" t="s">
        <v>180</v>
      </c>
      <c r="D238" s="17" t="s">
        <v>4</v>
      </c>
      <c r="E238" s="18">
        <v>45835</v>
      </c>
      <c r="F238" s="19">
        <v>6</v>
      </c>
      <c r="H238" s="20">
        <v>1</v>
      </c>
      <c r="I238" s="24">
        <v>890484.56000000017</v>
      </c>
      <c r="J238" s="24">
        <v>2673</v>
      </c>
      <c r="K238" s="24">
        <v>2673</v>
      </c>
      <c r="L238" s="21">
        <v>944284.21</v>
      </c>
      <c r="M238" s="24">
        <v>1850000</v>
      </c>
      <c r="N238" s="22">
        <f t="shared" si="8"/>
        <v>1.0604161514041297</v>
      </c>
      <c r="O238" s="22">
        <f t="shared" si="7"/>
        <v>0.53459999999999996</v>
      </c>
    </row>
    <row r="239" spans="1:15" x14ac:dyDescent="0.3">
      <c r="B239" s="16" t="s">
        <v>437</v>
      </c>
      <c r="C239" s="17" t="s">
        <v>408</v>
      </c>
      <c r="D239" s="17" t="s">
        <v>4</v>
      </c>
      <c r="E239" s="18">
        <v>46100</v>
      </c>
      <c r="F239" s="19" t="s">
        <v>435</v>
      </c>
      <c r="H239" s="20">
        <v>1</v>
      </c>
      <c r="I239" s="24">
        <v>133325.11000000002</v>
      </c>
      <c r="J239" s="24">
        <v>365</v>
      </c>
      <c r="K239" s="24">
        <v>365</v>
      </c>
      <c r="L239" s="21">
        <v>150657.4</v>
      </c>
      <c r="M239" s="24">
        <v>3000000</v>
      </c>
      <c r="N239" s="22">
        <f t="shared" si="8"/>
        <v>1.1300001927618883</v>
      </c>
      <c r="O239" s="22">
        <f t="shared" si="7"/>
        <v>7.2999999999999995E-2</v>
      </c>
    </row>
    <row r="240" spans="1:15" x14ac:dyDescent="0.3">
      <c r="B240" s="16" t="s">
        <v>407</v>
      </c>
      <c r="C240" s="17" t="s">
        <v>408</v>
      </c>
      <c r="D240" s="17" t="s">
        <v>4</v>
      </c>
      <c r="E240" s="18">
        <v>45915</v>
      </c>
      <c r="F240" s="19">
        <v>9</v>
      </c>
      <c r="H240" s="20">
        <v>1</v>
      </c>
      <c r="I240" s="24">
        <v>1691886.2199999983</v>
      </c>
      <c r="J240" s="24">
        <v>4803</v>
      </c>
      <c r="K240" s="24">
        <v>4518</v>
      </c>
      <c r="L240" s="21">
        <v>1752457.67</v>
      </c>
      <c r="M240" s="24">
        <v>3000000</v>
      </c>
      <c r="N240" s="22">
        <f t="shared" si="8"/>
        <v>1.0358011367927575</v>
      </c>
      <c r="O240" s="22">
        <f t="shared" si="7"/>
        <v>0.90359999999999996</v>
      </c>
    </row>
    <row r="241" spans="2:15" x14ac:dyDescent="0.3">
      <c r="B241" s="16" t="s">
        <v>424</v>
      </c>
      <c r="C241" s="17" t="s">
        <v>408</v>
      </c>
      <c r="D241" s="17" t="s">
        <v>4</v>
      </c>
      <c r="E241" s="18">
        <v>45966</v>
      </c>
      <c r="F241" s="19">
        <v>11</v>
      </c>
      <c r="H241" s="20">
        <v>1</v>
      </c>
      <c r="I241" s="24">
        <v>320266.17</v>
      </c>
      <c r="J241" s="24">
        <v>798</v>
      </c>
      <c r="K241" s="24">
        <v>798</v>
      </c>
      <c r="L241" s="21">
        <v>50000</v>
      </c>
      <c r="M241" s="24">
        <v>1850000</v>
      </c>
      <c r="N241" s="22">
        <f t="shared" si="8"/>
        <v>0.15612014219297657</v>
      </c>
      <c r="O241" s="22">
        <f t="shared" si="7"/>
        <v>0.15959999999999999</v>
      </c>
    </row>
    <row r="242" spans="2:15" x14ac:dyDescent="0.3">
      <c r="B242" s="16" t="s">
        <v>418</v>
      </c>
      <c r="C242" s="17" t="s">
        <v>408</v>
      </c>
      <c r="D242" s="17" t="s">
        <v>4</v>
      </c>
      <c r="E242" s="18">
        <v>45951</v>
      </c>
      <c r="F242" s="19">
        <v>10</v>
      </c>
      <c r="H242" s="20">
        <v>1</v>
      </c>
      <c r="I242" s="24">
        <v>1121206.9299999997</v>
      </c>
      <c r="J242" s="24">
        <v>3335</v>
      </c>
      <c r="K242" s="24">
        <v>3056</v>
      </c>
      <c r="L242" s="21">
        <v>1219146.2200000002</v>
      </c>
      <c r="M242" s="24">
        <v>2500000</v>
      </c>
      <c r="N242" s="22">
        <f t="shared" si="8"/>
        <v>1.0873516630868492</v>
      </c>
      <c r="O242" s="22">
        <f t="shared" si="7"/>
        <v>0.61119999999999997</v>
      </c>
    </row>
  </sheetData>
  <autoFilter ref="A3:O238" xr:uid="{405A6DC8-D308-4B8E-882C-1845AE328F93}">
    <sortState xmlns:xlrd2="http://schemas.microsoft.com/office/spreadsheetml/2017/richdata2" ref="A4:O238">
      <sortCondition ref="B3:B238"/>
    </sortState>
  </autoFilter>
  <mergeCells count="3">
    <mergeCell ref="B2:H2"/>
    <mergeCell ref="I2:M2"/>
    <mergeCell ref="N2:O2"/>
  </mergeCells>
  <phoneticPr fontId="3" type="noConversion"/>
  <conditionalFormatting sqref="B243:B1048576 B1:B3">
    <cfRule type="duplicateValues" dxfId="3" priority="9"/>
  </conditionalFormatting>
  <conditionalFormatting sqref="N1:O1 N2 N3:O3 N243:O1048576">
    <cfRule type="dataBar" priority="10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{55A3B577-A2ED-4DD3-84D4-E22F43CAD38C}</x14:id>
        </ext>
      </extLst>
    </cfRule>
  </conditionalFormatting>
  <conditionalFormatting sqref="N1:O1 N243:O1048576 N3:O3 N2">
    <cfRule type="dataBar" priority="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{1AA3320A-F086-4239-B672-487405E2FDCA}</x14:id>
        </ext>
      </extLst>
    </cfRule>
  </conditionalFormatting>
  <conditionalFormatting sqref="N243:O1048576">
    <cfRule type="dataBar" priority="1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{996F31B9-838C-47B0-AA27-075ADCA62F18}</x14:id>
        </ext>
      </extLst>
    </cfRule>
  </conditionalFormatting>
  <conditionalFormatting sqref="B201:B242">
    <cfRule type="duplicateValues" dxfId="2" priority="1"/>
  </conditionalFormatting>
  <conditionalFormatting sqref="B4:B199">
    <cfRule type="duplicateValues" dxfId="1" priority="2"/>
  </conditionalFormatting>
  <conditionalFormatting sqref="N4:O242">
    <cfRule type="dataBar" priority="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{5CFD5BEC-E6E4-4D4E-A22A-01B7F0519FBA}</x14:id>
        </ext>
      </extLst>
    </cfRule>
    <cfRule type="dataBar" priority="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{D95A0907-7B6C-45E6-B84B-87C5153575B4}</x14:id>
        </ext>
      </extLst>
    </cfRule>
  </conditionalFormatting>
  <pageMargins left="0.25" right="0.25" top="0.75" bottom="0.75" header="0.3" footer="0.3"/>
  <pageSetup paperSize="9" scale="56" fitToHeight="0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5A3B577-A2ED-4DD3-84D4-E22F43CAD38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N1:O1 N2 N3:O3 N243:O1048576</xm:sqref>
        </x14:conditionalFormatting>
        <x14:conditionalFormatting xmlns:xm="http://schemas.microsoft.com/office/excel/2006/main">
          <x14:cfRule type="dataBar" id="{1AA3320A-F086-4239-B672-487405E2FDCA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N1:O1 N243:O1048576 N3:O3 N2</xm:sqref>
        </x14:conditionalFormatting>
        <x14:conditionalFormatting xmlns:xm="http://schemas.microsoft.com/office/excel/2006/main">
          <x14:cfRule type="dataBar" id="{996F31B9-838C-47B0-AA27-075ADCA62F18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N243:O1048576</xm:sqref>
        </x14:conditionalFormatting>
        <x14:conditionalFormatting xmlns:xm="http://schemas.microsoft.com/office/excel/2006/main">
          <x14:cfRule type="dataBar" id="{5CFD5BEC-E6E4-4D4E-A22A-01B7F0519FB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95A0907-7B6C-45E6-B84B-87C5153575B4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N4:O242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298CA-07B8-469C-8272-21CF31E320C4}">
  <dimension ref="A1:P240"/>
  <sheetViews>
    <sheetView showGridLines="0" tabSelected="1" zoomScale="80" zoomScaleNormal="80" workbookViewId="0">
      <pane ySplit="4" topLeftCell="A5" activePane="bottomLeft" state="frozen"/>
      <selection pane="bottomLeft" activeCell="L19" sqref="L19"/>
    </sheetView>
  </sheetViews>
  <sheetFormatPr defaultRowHeight="16" x14ac:dyDescent="0.3"/>
  <cols>
    <col min="1" max="1" width="5" style="30" customWidth="1"/>
    <col min="2" max="2" width="26.1640625" style="50" customWidth="1"/>
    <col min="3" max="3" width="9.6640625" style="60" customWidth="1"/>
    <col min="4" max="4" width="25.58203125" style="52" customWidth="1"/>
    <col min="5" max="5" width="8.6640625" style="52" customWidth="1"/>
    <col min="6" max="6" width="9.83203125" style="53" customWidth="1"/>
    <col min="7" max="10" width="8.6640625" style="53" customWidth="1"/>
    <col min="11" max="11" width="8.6640625" style="52"/>
    <col min="12" max="12" width="8.6640625" style="61"/>
    <col min="13" max="13" width="8.6640625" style="30"/>
    <col min="14" max="14" width="7.6640625" style="30" customWidth="1"/>
    <col min="15" max="15" width="11.4140625" style="32" customWidth="1"/>
    <col min="16" max="16" width="14.33203125" style="30" customWidth="1"/>
    <col min="17" max="16384" width="8.6640625" style="30"/>
  </cols>
  <sheetData>
    <row r="1" spans="2:16" x14ac:dyDescent="0.3">
      <c r="B1" s="29" t="s">
        <v>445</v>
      </c>
      <c r="C1" s="30"/>
      <c r="D1" s="30"/>
      <c r="E1" s="30"/>
      <c r="F1" s="31"/>
      <c r="G1" s="31"/>
      <c r="H1" s="31"/>
      <c r="I1" s="31"/>
      <c r="J1" s="31">
        <v>486</v>
      </c>
      <c r="K1" s="30"/>
      <c r="L1" s="30"/>
    </row>
    <row r="2" spans="2:16" s="36" customFormat="1" ht="35" customHeight="1" x14ac:dyDescent="0.3">
      <c r="B2" s="75" t="s">
        <v>537</v>
      </c>
      <c r="C2" s="33" t="s">
        <v>446</v>
      </c>
      <c r="D2" s="34" t="s">
        <v>447</v>
      </c>
      <c r="E2" s="34" t="s">
        <v>448</v>
      </c>
      <c r="F2" s="35" t="s">
        <v>449</v>
      </c>
      <c r="G2" s="76" t="s">
        <v>539</v>
      </c>
      <c r="H2" s="77"/>
      <c r="I2" s="78" t="s">
        <v>541</v>
      </c>
      <c r="J2" s="79"/>
      <c r="K2" s="62" t="s">
        <v>540</v>
      </c>
      <c r="L2" s="63"/>
      <c r="M2" s="62" t="s">
        <v>450</v>
      </c>
      <c r="N2" s="63"/>
      <c r="O2" s="81" t="s">
        <v>542</v>
      </c>
      <c r="P2" s="81" t="s">
        <v>543</v>
      </c>
    </row>
    <row r="3" spans="2:16" s="36" customFormat="1" ht="16" customHeight="1" x14ac:dyDescent="0.3">
      <c r="B3" s="37"/>
      <c r="C3" s="38"/>
      <c r="D3" s="39"/>
      <c r="E3" s="39"/>
      <c r="F3" s="40"/>
      <c r="G3" s="41" t="s">
        <v>451</v>
      </c>
      <c r="H3" s="41" t="s">
        <v>452</v>
      </c>
      <c r="I3" s="41" t="s">
        <v>451</v>
      </c>
      <c r="J3" s="41" t="s">
        <v>452</v>
      </c>
      <c r="K3" s="42" t="s">
        <v>451</v>
      </c>
      <c r="L3" s="43" t="s">
        <v>452</v>
      </c>
      <c r="M3" s="42" t="s">
        <v>451</v>
      </c>
      <c r="N3" s="43" t="s">
        <v>452</v>
      </c>
      <c r="O3" s="80"/>
      <c r="P3" s="80"/>
    </row>
    <row r="4" spans="2:16" s="46" customFormat="1" x14ac:dyDescent="0.3">
      <c r="B4" s="44" t="s">
        <v>544</v>
      </c>
      <c r="C4" s="44"/>
      <c r="D4" s="82"/>
      <c r="E4" s="82"/>
      <c r="F4" s="45">
        <v>284</v>
      </c>
      <c r="G4" s="45">
        <f>SUM(G7:G240)</f>
        <v>1452</v>
      </c>
      <c r="H4" s="45">
        <v>1074</v>
      </c>
      <c r="I4" s="45">
        <v>760</v>
      </c>
      <c r="J4" s="45">
        <v>244</v>
      </c>
      <c r="K4" s="83">
        <v>1117</v>
      </c>
      <c r="L4" s="84">
        <v>830</v>
      </c>
      <c r="M4" s="85">
        <v>0.52341597796143247</v>
      </c>
      <c r="N4" s="85">
        <v>0.2271880819366853</v>
      </c>
      <c r="O4" s="86">
        <v>11259</v>
      </c>
      <c r="P4" s="86">
        <v>55540</v>
      </c>
    </row>
    <row r="5" spans="2:16" s="46" customFormat="1" ht="17" x14ac:dyDescent="0.3">
      <c r="B5" s="47" t="s">
        <v>545</v>
      </c>
      <c r="C5" s="47"/>
      <c r="D5" s="48">
        <v>5</v>
      </c>
      <c r="E5" s="87"/>
      <c r="F5" s="49"/>
      <c r="G5" s="49"/>
      <c r="H5" s="49"/>
      <c r="I5" s="49">
        <v>100</v>
      </c>
      <c r="J5" s="49"/>
      <c r="K5" s="88"/>
      <c r="L5" s="89"/>
      <c r="M5" s="90"/>
      <c r="N5" s="90"/>
      <c r="O5" s="91"/>
      <c r="P5" s="92"/>
    </row>
    <row r="6" spans="2:16" s="46" customFormat="1" x14ac:dyDescent="0.3">
      <c r="B6" s="47" t="s">
        <v>546</v>
      </c>
      <c r="C6" s="47"/>
      <c r="D6" s="87"/>
      <c r="E6" s="87"/>
      <c r="F6" s="49"/>
      <c r="G6" s="49"/>
      <c r="H6" s="49"/>
      <c r="I6" s="49">
        <v>325</v>
      </c>
      <c r="J6" s="49"/>
      <c r="K6" s="88"/>
      <c r="L6" s="89"/>
      <c r="M6" s="90"/>
      <c r="N6" s="90"/>
      <c r="O6" s="91"/>
      <c r="P6" s="92"/>
    </row>
    <row r="7" spans="2:16" ht="14" customHeight="1" x14ac:dyDescent="0.3">
      <c r="B7" s="51" t="s">
        <v>258</v>
      </c>
      <c r="C7" s="51" t="s">
        <v>7</v>
      </c>
      <c r="D7" s="53" t="s">
        <v>12</v>
      </c>
      <c r="E7" s="53" t="s">
        <v>4</v>
      </c>
      <c r="F7" s="53">
        <v>1</v>
      </c>
      <c r="G7" s="54">
        <v>4</v>
      </c>
      <c r="H7" s="54">
        <v>2</v>
      </c>
      <c r="I7" s="54">
        <v>7</v>
      </c>
      <c r="J7" s="54">
        <v>0</v>
      </c>
      <c r="K7" s="54">
        <v>-3</v>
      </c>
      <c r="L7" s="55">
        <v>2</v>
      </c>
      <c r="M7" s="56">
        <v>1.75</v>
      </c>
      <c r="N7" s="56">
        <v>0</v>
      </c>
      <c r="O7" s="54">
        <v>80</v>
      </c>
      <c r="P7" s="55">
        <v>20</v>
      </c>
    </row>
    <row r="8" spans="2:16" x14ac:dyDescent="0.3">
      <c r="B8" s="51" t="s">
        <v>410</v>
      </c>
      <c r="C8" s="51" t="s">
        <v>46</v>
      </c>
      <c r="D8" s="53" t="s">
        <v>458</v>
      </c>
      <c r="E8" s="53" t="s">
        <v>4</v>
      </c>
      <c r="F8" s="53">
        <v>1</v>
      </c>
      <c r="G8" s="54">
        <v>4</v>
      </c>
      <c r="H8" s="54">
        <v>2</v>
      </c>
      <c r="I8" s="54">
        <v>0</v>
      </c>
      <c r="J8" s="54">
        <v>0</v>
      </c>
      <c r="K8" s="54">
        <v>4</v>
      </c>
      <c r="L8" s="55">
        <v>2</v>
      </c>
      <c r="M8" s="56">
        <v>0</v>
      </c>
      <c r="N8" s="56">
        <v>0</v>
      </c>
      <c r="O8" s="54">
        <v>0</v>
      </c>
      <c r="P8" s="55">
        <v>160</v>
      </c>
    </row>
    <row r="9" spans="2:16" x14ac:dyDescent="0.3">
      <c r="B9" s="51" t="s">
        <v>137</v>
      </c>
      <c r="C9" s="51" t="s">
        <v>7</v>
      </c>
      <c r="D9" s="53" t="s">
        <v>23</v>
      </c>
      <c r="E9" s="53" t="s">
        <v>18</v>
      </c>
      <c r="F9" s="53">
        <v>1</v>
      </c>
      <c r="G9" s="54">
        <v>6</v>
      </c>
      <c r="H9" s="54">
        <v>6</v>
      </c>
      <c r="I9" s="54">
        <v>0</v>
      </c>
      <c r="J9" s="54">
        <v>0</v>
      </c>
      <c r="K9" s="54">
        <v>6</v>
      </c>
      <c r="L9" s="55">
        <v>6</v>
      </c>
      <c r="M9" s="56">
        <v>0</v>
      </c>
      <c r="N9" s="56">
        <v>0</v>
      </c>
      <c r="O9" s="54">
        <v>0</v>
      </c>
      <c r="P9" s="55">
        <v>360</v>
      </c>
    </row>
    <row r="10" spans="2:16" x14ac:dyDescent="0.3">
      <c r="B10" s="51" t="s">
        <v>36</v>
      </c>
      <c r="C10" s="51" t="s">
        <v>17</v>
      </c>
      <c r="D10" s="53" t="s">
        <v>170</v>
      </c>
      <c r="E10" s="53" t="s">
        <v>18</v>
      </c>
      <c r="F10" s="53">
        <v>1</v>
      </c>
      <c r="G10" s="54">
        <v>6</v>
      </c>
      <c r="H10" s="54">
        <v>6</v>
      </c>
      <c r="I10" s="54">
        <v>1</v>
      </c>
      <c r="J10" s="54">
        <v>0</v>
      </c>
      <c r="K10" s="54">
        <v>5</v>
      </c>
      <c r="L10" s="55">
        <v>6</v>
      </c>
      <c r="M10" s="56">
        <v>0.16666666666666666</v>
      </c>
      <c r="N10" s="56">
        <v>0</v>
      </c>
      <c r="O10" s="54">
        <v>0</v>
      </c>
      <c r="P10" s="55">
        <v>340</v>
      </c>
    </row>
    <row r="11" spans="2:16" x14ac:dyDescent="0.3">
      <c r="B11" s="51" t="s">
        <v>416</v>
      </c>
      <c r="C11" s="51" t="s">
        <v>46</v>
      </c>
      <c r="D11" s="53" t="s">
        <v>459</v>
      </c>
      <c r="E11" s="53" t="s">
        <v>4</v>
      </c>
      <c r="F11" s="53">
        <v>1</v>
      </c>
      <c r="G11" s="54">
        <v>4</v>
      </c>
      <c r="H11" s="54">
        <v>2</v>
      </c>
      <c r="I11" s="54">
        <v>0</v>
      </c>
      <c r="J11" s="54">
        <v>0</v>
      </c>
      <c r="K11" s="54">
        <v>4</v>
      </c>
      <c r="L11" s="55">
        <v>2</v>
      </c>
      <c r="M11" s="56">
        <v>0</v>
      </c>
      <c r="N11" s="56">
        <v>0</v>
      </c>
      <c r="O11" s="54">
        <v>0</v>
      </c>
      <c r="P11" s="55">
        <v>160</v>
      </c>
    </row>
    <row r="12" spans="2:16" x14ac:dyDescent="0.3">
      <c r="B12" s="51" t="s">
        <v>232</v>
      </c>
      <c r="C12" s="51" t="s">
        <v>180</v>
      </c>
      <c r="D12" s="53" t="s">
        <v>27</v>
      </c>
      <c r="E12" s="53" t="s">
        <v>4</v>
      </c>
      <c r="F12" s="53">
        <v>1</v>
      </c>
      <c r="G12" s="54">
        <v>4</v>
      </c>
      <c r="H12" s="54">
        <v>2</v>
      </c>
      <c r="I12" s="54">
        <v>0</v>
      </c>
      <c r="J12" s="54">
        <v>0</v>
      </c>
      <c r="K12" s="54">
        <v>4</v>
      </c>
      <c r="L12" s="55">
        <v>2</v>
      </c>
      <c r="M12" s="56">
        <v>0</v>
      </c>
      <c r="N12" s="56">
        <v>0</v>
      </c>
      <c r="O12" s="54">
        <v>0</v>
      </c>
      <c r="P12" s="55">
        <v>160</v>
      </c>
    </row>
    <row r="13" spans="2:16" x14ac:dyDescent="0.3">
      <c r="B13" s="51" t="s">
        <v>354</v>
      </c>
      <c r="C13" s="51" t="s">
        <v>180</v>
      </c>
      <c r="D13" s="53" t="s">
        <v>1</v>
      </c>
      <c r="E13" s="53" t="s">
        <v>4</v>
      </c>
      <c r="F13" s="53">
        <v>1</v>
      </c>
      <c r="G13" s="54">
        <v>4</v>
      </c>
      <c r="H13" s="54">
        <v>2</v>
      </c>
      <c r="I13" s="54">
        <v>0</v>
      </c>
      <c r="J13" s="54">
        <v>0</v>
      </c>
      <c r="K13" s="54">
        <v>4</v>
      </c>
      <c r="L13" s="55">
        <v>2</v>
      </c>
      <c r="M13" s="56">
        <v>0</v>
      </c>
      <c r="N13" s="56">
        <v>0</v>
      </c>
      <c r="O13" s="54">
        <v>0</v>
      </c>
      <c r="P13" s="55">
        <v>160</v>
      </c>
    </row>
    <row r="14" spans="2:16" x14ac:dyDescent="0.3">
      <c r="B14" s="51" t="s">
        <v>204</v>
      </c>
      <c r="C14" s="51" t="s">
        <v>10</v>
      </c>
      <c r="D14" s="53" t="s">
        <v>31</v>
      </c>
      <c r="E14" s="53" t="s">
        <v>18</v>
      </c>
      <c r="F14" s="53">
        <v>1</v>
      </c>
      <c r="G14" s="54">
        <v>6</v>
      </c>
      <c r="H14" s="54">
        <v>6</v>
      </c>
      <c r="I14" s="54">
        <v>3</v>
      </c>
      <c r="J14" s="54">
        <v>0</v>
      </c>
      <c r="K14" s="54">
        <v>3</v>
      </c>
      <c r="L14" s="55">
        <v>6</v>
      </c>
      <c r="M14" s="56">
        <v>0.5</v>
      </c>
      <c r="N14" s="56">
        <v>0</v>
      </c>
      <c r="O14" s="54">
        <v>0</v>
      </c>
      <c r="P14" s="55">
        <v>300</v>
      </c>
    </row>
    <row r="15" spans="2:16" x14ac:dyDescent="0.3">
      <c r="B15" s="51" t="s">
        <v>157</v>
      </c>
      <c r="C15" s="51" t="s">
        <v>10</v>
      </c>
      <c r="D15" s="53" t="s">
        <v>15</v>
      </c>
      <c r="E15" s="57" t="s">
        <v>4</v>
      </c>
      <c r="F15" s="53">
        <v>1</v>
      </c>
      <c r="G15" s="54">
        <v>4</v>
      </c>
      <c r="H15" s="54">
        <v>2</v>
      </c>
      <c r="I15" s="54">
        <v>2</v>
      </c>
      <c r="J15" s="54">
        <v>2</v>
      </c>
      <c r="K15" s="54">
        <v>2</v>
      </c>
      <c r="L15" s="55">
        <v>0</v>
      </c>
      <c r="M15" s="56">
        <v>0.5</v>
      </c>
      <c r="N15" s="56">
        <v>1</v>
      </c>
      <c r="O15" s="54">
        <v>99</v>
      </c>
      <c r="P15" s="55">
        <v>40</v>
      </c>
    </row>
    <row r="16" spans="2:16" x14ac:dyDescent="0.3">
      <c r="B16" s="51" t="s">
        <v>190</v>
      </c>
      <c r="C16" s="51" t="s">
        <v>10</v>
      </c>
      <c r="D16" s="53" t="s">
        <v>25</v>
      </c>
      <c r="E16" s="53" t="s">
        <v>4</v>
      </c>
      <c r="F16" s="53">
        <v>2</v>
      </c>
      <c r="G16" s="54">
        <v>8</v>
      </c>
      <c r="H16" s="54">
        <v>4</v>
      </c>
      <c r="I16" s="54">
        <v>0</v>
      </c>
      <c r="J16" s="54">
        <v>0</v>
      </c>
      <c r="K16" s="54">
        <v>8</v>
      </c>
      <c r="L16" s="55">
        <v>4</v>
      </c>
      <c r="M16" s="56">
        <v>0</v>
      </c>
      <c r="N16" s="56">
        <v>0</v>
      </c>
      <c r="O16" s="54">
        <v>0</v>
      </c>
      <c r="P16" s="55">
        <v>320</v>
      </c>
    </row>
    <row r="17" spans="2:16" x14ac:dyDescent="0.3">
      <c r="B17" s="51" t="s">
        <v>250</v>
      </c>
      <c r="C17" s="51" t="s">
        <v>10</v>
      </c>
      <c r="D17" s="53" t="s">
        <v>5</v>
      </c>
      <c r="E17" s="53" t="s">
        <v>4</v>
      </c>
      <c r="F17" s="53">
        <v>1</v>
      </c>
      <c r="G17" s="54">
        <v>4</v>
      </c>
      <c r="H17" s="54">
        <v>2</v>
      </c>
      <c r="I17" s="54">
        <v>0</v>
      </c>
      <c r="J17" s="54">
        <v>0</v>
      </c>
      <c r="K17" s="54">
        <v>4</v>
      </c>
      <c r="L17" s="55">
        <v>2</v>
      </c>
      <c r="M17" s="56">
        <v>0</v>
      </c>
      <c r="N17" s="56">
        <v>0</v>
      </c>
      <c r="O17" s="54">
        <v>0</v>
      </c>
      <c r="P17" s="55">
        <v>160</v>
      </c>
    </row>
    <row r="18" spans="2:16" x14ac:dyDescent="0.3">
      <c r="B18" s="51" t="s">
        <v>70</v>
      </c>
      <c r="C18" s="51" t="s">
        <v>10</v>
      </c>
      <c r="D18" s="53" t="s">
        <v>33</v>
      </c>
      <c r="E18" s="53" t="s">
        <v>4</v>
      </c>
      <c r="F18" s="53">
        <v>2</v>
      </c>
      <c r="G18" s="54">
        <v>8</v>
      </c>
      <c r="H18" s="54">
        <v>4</v>
      </c>
      <c r="I18" s="54">
        <v>2</v>
      </c>
      <c r="J18" s="54">
        <v>2</v>
      </c>
      <c r="K18" s="54">
        <v>6</v>
      </c>
      <c r="L18" s="55">
        <v>2</v>
      </c>
      <c r="M18" s="56">
        <v>0.25</v>
      </c>
      <c r="N18" s="56">
        <v>0.5</v>
      </c>
      <c r="O18" s="54">
        <v>120</v>
      </c>
      <c r="P18" s="55">
        <v>200</v>
      </c>
    </row>
    <row r="19" spans="2:16" x14ac:dyDescent="0.3">
      <c r="B19" s="51" t="s">
        <v>151</v>
      </c>
      <c r="C19" s="51" t="s">
        <v>10</v>
      </c>
      <c r="D19" s="53" t="s">
        <v>8</v>
      </c>
      <c r="E19" s="53" t="s">
        <v>18</v>
      </c>
      <c r="F19" s="53">
        <v>1</v>
      </c>
      <c r="G19" s="54">
        <v>6</v>
      </c>
      <c r="H19" s="54">
        <v>6</v>
      </c>
      <c r="I19" s="54">
        <v>0</v>
      </c>
      <c r="J19" s="54">
        <v>0</v>
      </c>
      <c r="K19" s="54">
        <v>6</v>
      </c>
      <c r="L19" s="55">
        <v>6</v>
      </c>
      <c r="M19" s="56">
        <v>0</v>
      </c>
      <c r="N19" s="56">
        <v>0</v>
      </c>
      <c r="O19" s="54">
        <v>0</v>
      </c>
      <c r="P19" s="55">
        <v>360</v>
      </c>
    </row>
    <row r="20" spans="2:16" x14ac:dyDescent="0.3">
      <c r="B20" s="51" t="s">
        <v>297</v>
      </c>
      <c r="C20" s="51" t="s">
        <v>10</v>
      </c>
      <c r="D20" s="53" t="s">
        <v>37</v>
      </c>
      <c r="E20" s="53" t="s">
        <v>4</v>
      </c>
      <c r="F20" s="53">
        <v>1</v>
      </c>
      <c r="G20" s="54">
        <v>4</v>
      </c>
      <c r="H20" s="54">
        <v>2</v>
      </c>
      <c r="I20" s="54">
        <v>0</v>
      </c>
      <c r="J20" s="54">
        <v>0</v>
      </c>
      <c r="K20" s="54">
        <v>4</v>
      </c>
      <c r="L20" s="55">
        <v>2</v>
      </c>
      <c r="M20" s="56">
        <v>0</v>
      </c>
      <c r="N20" s="56">
        <v>0</v>
      </c>
      <c r="O20" s="54">
        <v>0</v>
      </c>
      <c r="P20" s="55">
        <v>160</v>
      </c>
    </row>
    <row r="21" spans="2:16" x14ac:dyDescent="0.3">
      <c r="B21" s="51" t="s">
        <v>314</v>
      </c>
      <c r="C21" s="51" t="s">
        <v>10</v>
      </c>
      <c r="D21" s="53" t="s">
        <v>35</v>
      </c>
      <c r="E21" s="53" t="s">
        <v>4</v>
      </c>
      <c r="F21" s="53">
        <v>1</v>
      </c>
      <c r="G21" s="54">
        <v>4</v>
      </c>
      <c r="H21" s="54">
        <v>2</v>
      </c>
      <c r="I21" s="54">
        <v>4</v>
      </c>
      <c r="J21" s="54">
        <v>2</v>
      </c>
      <c r="K21" s="54">
        <v>0</v>
      </c>
      <c r="L21" s="55">
        <v>0</v>
      </c>
      <c r="M21" s="56">
        <v>1</v>
      </c>
      <c r="N21" s="56">
        <v>1</v>
      </c>
      <c r="O21" s="54">
        <v>131</v>
      </c>
      <c r="P21" s="55">
        <v>0</v>
      </c>
    </row>
    <row r="22" spans="2:16" x14ac:dyDescent="0.3">
      <c r="B22" s="51" t="s">
        <v>426</v>
      </c>
      <c r="C22" s="51" t="s">
        <v>10</v>
      </c>
      <c r="D22" s="53" t="s">
        <v>460</v>
      </c>
      <c r="E22" s="53" t="s">
        <v>18</v>
      </c>
      <c r="F22" s="53">
        <v>1</v>
      </c>
      <c r="G22" s="54">
        <v>6</v>
      </c>
      <c r="H22" s="54">
        <v>6</v>
      </c>
      <c r="I22" s="54">
        <v>0</v>
      </c>
      <c r="J22" s="54">
        <v>0</v>
      </c>
      <c r="K22" s="54">
        <v>6</v>
      </c>
      <c r="L22" s="55">
        <v>6</v>
      </c>
      <c r="M22" s="56">
        <v>0</v>
      </c>
      <c r="N22" s="56">
        <v>0</v>
      </c>
      <c r="O22" s="54">
        <v>0</v>
      </c>
      <c r="P22" s="55">
        <v>360</v>
      </c>
    </row>
    <row r="23" spans="2:16" x14ac:dyDescent="0.3">
      <c r="B23" s="51" t="s">
        <v>163</v>
      </c>
      <c r="C23" s="51" t="s">
        <v>10</v>
      </c>
      <c r="D23" s="53" t="s">
        <v>21</v>
      </c>
      <c r="E23" s="53" t="s">
        <v>4</v>
      </c>
      <c r="F23" s="53">
        <v>3</v>
      </c>
      <c r="G23" s="54">
        <v>12</v>
      </c>
      <c r="H23" s="54">
        <v>6</v>
      </c>
      <c r="I23" s="54">
        <v>4</v>
      </c>
      <c r="J23" s="54">
        <v>3</v>
      </c>
      <c r="K23" s="54">
        <v>8</v>
      </c>
      <c r="L23" s="55">
        <v>3</v>
      </c>
      <c r="M23" s="56">
        <v>0.33333333333333331</v>
      </c>
      <c r="N23" s="56">
        <v>0.5</v>
      </c>
      <c r="O23" s="54">
        <v>180</v>
      </c>
      <c r="P23" s="55">
        <v>280</v>
      </c>
    </row>
    <row r="24" spans="2:16" x14ac:dyDescent="0.3">
      <c r="B24" s="51" t="s">
        <v>121</v>
      </c>
      <c r="C24" s="51" t="s">
        <v>10</v>
      </c>
      <c r="D24" s="53" t="s">
        <v>150</v>
      </c>
      <c r="E24" s="53" t="s">
        <v>11</v>
      </c>
      <c r="F24" s="53">
        <v>2</v>
      </c>
      <c r="G24" s="54">
        <v>16</v>
      </c>
      <c r="H24" s="54">
        <v>16</v>
      </c>
      <c r="I24" s="54">
        <v>3</v>
      </c>
      <c r="J24" s="54">
        <v>0</v>
      </c>
      <c r="K24" s="54">
        <v>13</v>
      </c>
      <c r="L24" s="55">
        <v>16</v>
      </c>
      <c r="M24" s="56">
        <v>0.1875</v>
      </c>
      <c r="N24" s="56">
        <v>0</v>
      </c>
      <c r="O24" s="54">
        <v>0</v>
      </c>
      <c r="P24" s="55">
        <v>900</v>
      </c>
    </row>
    <row r="25" spans="2:16" x14ac:dyDescent="0.3">
      <c r="B25" s="51" t="s">
        <v>369</v>
      </c>
      <c r="C25" s="51" t="s">
        <v>10</v>
      </c>
      <c r="D25" s="53" t="s">
        <v>57</v>
      </c>
      <c r="E25" s="53" t="s">
        <v>11</v>
      </c>
      <c r="F25" s="53">
        <v>2</v>
      </c>
      <c r="G25" s="54">
        <v>16</v>
      </c>
      <c r="H25" s="54">
        <v>16</v>
      </c>
      <c r="I25" s="54">
        <v>6</v>
      </c>
      <c r="J25" s="54">
        <v>6</v>
      </c>
      <c r="K25" s="54">
        <v>10</v>
      </c>
      <c r="L25" s="55">
        <v>10</v>
      </c>
      <c r="M25" s="56">
        <v>0.375</v>
      </c>
      <c r="N25" s="56">
        <v>0.375</v>
      </c>
      <c r="O25" s="54">
        <v>360</v>
      </c>
      <c r="P25" s="55">
        <v>600</v>
      </c>
    </row>
    <row r="26" spans="2:16" x14ac:dyDescent="0.3">
      <c r="B26" s="51" t="s">
        <v>356</v>
      </c>
      <c r="C26" s="51" t="s">
        <v>10</v>
      </c>
      <c r="D26" s="53" t="s">
        <v>116</v>
      </c>
      <c r="E26" s="53" t="s">
        <v>4</v>
      </c>
      <c r="F26" s="53">
        <v>1</v>
      </c>
      <c r="G26" s="54">
        <v>4</v>
      </c>
      <c r="H26" s="54">
        <v>2</v>
      </c>
      <c r="I26" s="54">
        <v>0</v>
      </c>
      <c r="J26" s="54">
        <v>0</v>
      </c>
      <c r="K26" s="54">
        <v>4</v>
      </c>
      <c r="L26" s="55">
        <v>2</v>
      </c>
      <c r="M26" s="56">
        <v>0</v>
      </c>
      <c r="N26" s="56">
        <v>0</v>
      </c>
      <c r="O26" s="54">
        <v>0</v>
      </c>
      <c r="P26" s="55">
        <v>160</v>
      </c>
    </row>
    <row r="27" spans="2:16" x14ac:dyDescent="0.3">
      <c r="B27" s="51" t="s">
        <v>34</v>
      </c>
      <c r="C27" s="51" t="s">
        <v>10</v>
      </c>
      <c r="D27" s="53" t="s">
        <v>132</v>
      </c>
      <c r="E27" s="53" t="s">
        <v>4</v>
      </c>
      <c r="F27" s="53">
        <v>2</v>
      </c>
      <c r="G27" s="54">
        <v>8</v>
      </c>
      <c r="H27" s="54">
        <v>4</v>
      </c>
      <c r="I27" s="54">
        <v>0</v>
      </c>
      <c r="J27" s="54">
        <v>0</v>
      </c>
      <c r="K27" s="54">
        <v>8</v>
      </c>
      <c r="L27" s="55">
        <v>4</v>
      </c>
      <c r="M27" s="56">
        <v>0</v>
      </c>
      <c r="N27" s="56">
        <v>0</v>
      </c>
      <c r="O27" s="54">
        <v>0</v>
      </c>
      <c r="P27" s="55">
        <v>320</v>
      </c>
    </row>
    <row r="28" spans="2:16" x14ac:dyDescent="0.3">
      <c r="B28" s="51" t="s">
        <v>312</v>
      </c>
      <c r="C28" s="51" t="s">
        <v>10</v>
      </c>
      <c r="D28" s="53" t="s">
        <v>82</v>
      </c>
      <c r="E28" s="53" t="s">
        <v>4</v>
      </c>
      <c r="F28" s="53">
        <v>1</v>
      </c>
      <c r="G28" s="54">
        <v>4</v>
      </c>
      <c r="H28" s="54">
        <v>2</v>
      </c>
      <c r="I28" s="54">
        <v>0</v>
      </c>
      <c r="J28" s="54">
        <v>0</v>
      </c>
      <c r="K28" s="54">
        <v>4</v>
      </c>
      <c r="L28" s="55">
        <v>2</v>
      </c>
      <c r="M28" s="56">
        <v>0</v>
      </c>
      <c r="N28" s="56">
        <v>0</v>
      </c>
      <c r="O28" s="54">
        <v>0</v>
      </c>
      <c r="P28" s="55">
        <v>160</v>
      </c>
    </row>
    <row r="29" spans="2:16" x14ac:dyDescent="0.3">
      <c r="B29" s="51" t="s">
        <v>77</v>
      </c>
      <c r="C29" s="51" t="s">
        <v>10</v>
      </c>
      <c r="D29" s="53" t="s">
        <v>97</v>
      </c>
      <c r="E29" s="53" t="s">
        <v>4</v>
      </c>
      <c r="F29" s="53">
        <v>2</v>
      </c>
      <c r="G29" s="54">
        <v>8</v>
      </c>
      <c r="H29" s="54">
        <v>4</v>
      </c>
      <c r="I29" s="54">
        <v>2</v>
      </c>
      <c r="J29" s="54">
        <v>0</v>
      </c>
      <c r="K29" s="54">
        <v>6</v>
      </c>
      <c r="L29" s="55">
        <v>4</v>
      </c>
      <c r="M29" s="56">
        <v>0.25</v>
      </c>
      <c r="N29" s="56">
        <v>0</v>
      </c>
      <c r="O29" s="54">
        <v>0</v>
      </c>
      <c r="P29" s="55">
        <v>280</v>
      </c>
    </row>
    <row r="30" spans="2:16" x14ac:dyDescent="0.3">
      <c r="B30" s="51" t="s">
        <v>52</v>
      </c>
      <c r="C30" s="51" t="s">
        <v>10</v>
      </c>
      <c r="D30" s="53" t="s">
        <v>134</v>
      </c>
      <c r="E30" s="53" t="s">
        <v>4</v>
      </c>
      <c r="F30" s="53">
        <v>1</v>
      </c>
      <c r="G30" s="54">
        <v>4</v>
      </c>
      <c r="H30" s="54">
        <v>2</v>
      </c>
      <c r="I30" s="54">
        <v>0</v>
      </c>
      <c r="J30" s="54">
        <v>0</v>
      </c>
      <c r="K30" s="54">
        <v>4</v>
      </c>
      <c r="L30" s="55">
        <v>2</v>
      </c>
      <c r="M30" s="56">
        <v>0</v>
      </c>
      <c r="N30" s="56">
        <v>0</v>
      </c>
      <c r="O30" s="54">
        <v>0</v>
      </c>
      <c r="P30" s="55">
        <v>160</v>
      </c>
    </row>
    <row r="31" spans="2:16" x14ac:dyDescent="0.3">
      <c r="B31" s="51" t="s">
        <v>66</v>
      </c>
      <c r="C31" s="51" t="s">
        <v>10</v>
      </c>
      <c r="D31" s="53" t="s">
        <v>104</v>
      </c>
      <c r="E31" s="53" t="s">
        <v>4</v>
      </c>
      <c r="F31" s="53">
        <v>2</v>
      </c>
      <c r="G31" s="54">
        <v>8</v>
      </c>
      <c r="H31" s="54">
        <v>4</v>
      </c>
      <c r="I31" s="54">
        <v>4</v>
      </c>
      <c r="J31" s="54">
        <v>2</v>
      </c>
      <c r="K31" s="54">
        <v>4</v>
      </c>
      <c r="L31" s="55">
        <v>2</v>
      </c>
      <c r="M31" s="56">
        <v>0.5</v>
      </c>
      <c r="N31" s="56">
        <v>0.5</v>
      </c>
      <c r="O31" s="54">
        <v>99</v>
      </c>
      <c r="P31" s="55">
        <v>160</v>
      </c>
    </row>
    <row r="32" spans="2:16" x14ac:dyDescent="0.3">
      <c r="B32" s="51" t="s">
        <v>389</v>
      </c>
      <c r="C32" s="51" t="s">
        <v>39</v>
      </c>
      <c r="D32" s="53" t="s">
        <v>122</v>
      </c>
      <c r="E32" s="53" t="s">
        <v>4</v>
      </c>
      <c r="F32" s="53">
        <v>1</v>
      </c>
      <c r="G32" s="54">
        <v>4</v>
      </c>
      <c r="H32" s="54">
        <v>2</v>
      </c>
      <c r="I32" s="54">
        <v>0</v>
      </c>
      <c r="J32" s="54">
        <v>0</v>
      </c>
      <c r="K32" s="54">
        <v>4</v>
      </c>
      <c r="L32" s="55">
        <v>2</v>
      </c>
      <c r="M32" s="56">
        <v>0</v>
      </c>
      <c r="N32" s="56">
        <v>0</v>
      </c>
      <c r="O32" s="54">
        <v>0</v>
      </c>
      <c r="P32" s="55">
        <v>160</v>
      </c>
    </row>
    <row r="33" spans="1:16" x14ac:dyDescent="0.3">
      <c r="B33" s="51" t="s">
        <v>248</v>
      </c>
      <c r="C33" s="51" t="s">
        <v>7</v>
      </c>
      <c r="D33" s="53" t="s">
        <v>65</v>
      </c>
      <c r="E33" s="53" t="s">
        <v>4</v>
      </c>
      <c r="F33" s="53">
        <v>1</v>
      </c>
      <c r="G33" s="54">
        <v>4</v>
      </c>
      <c r="H33" s="54">
        <v>2</v>
      </c>
      <c r="I33" s="54">
        <v>4</v>
      </c>
      <c r="J33" s="54">
        <v>2</v>
      </c>
      <c r="K33" s="54">
        <v>0</v>
      </c>
      <c r="L33" s="55">
        <v>0</v>
      </c>
      <c r="M33" s="56">
        <v>1</v>
      </c>
      <c r="N33" s="56">
        <v>1</v>
      </c>
      <c r="O33" s="54">
        <v>120</v>
      </c>
      <c r="P33" s="55">
        <v>0</v>
      </c>
    </row>
    <row r="34" spans="1:16" x14ac:dyDescent="0.3">
      <c r="B34" s="51" t="s">
        <v>423</v>
      </c>
      <c r="C34" s="51" t="s">
        <v>7</v>
      </c>
      <c r="D34" s="53" t="s">
        <v>461</v>
      </c>
      <c r="E34" s="53" t="s">
        <v>18</v>
      </c>
      <c r="F34" s="53">
        <v>1</v>
      </c>
      <c r="G34" s="54">
        <v>6</v>
      </c>
      <c r="H34" s="54">
        <v>6</v>
      </c>
      <c r="I34" s="54">
        <v>1</v>
      </c>
      <c r="J34" s="54">
        <v>0</v>
      </c>
      <c r="K34" s="54">
        <v>5</v>
      </c>
      <c r="L34" s="55">
        <v>6</v>
      </c>
      <c r="M34" s="56">
        <v>0.16666666666666666</v>
      </c>
      <c r="N34" s="56">
        <v>0</v>
      </c>
      <c r="O34" s="54">
        <v>0</v>
      </c>
      <c r="P34" s="55">
        <v>340</v>
      </c>
    </row>
    <row r="35" spans="1:16" x14ac:dyDescent="0.3">
      <c r="B35" s="51" t="s">
        <v>98</v>
      </c>
      <c r="C35" s="51" t="s">
        <v>3</v>
      </c>
      <c r="D35" s="53" t="s">
        <v>95</v>
      </c>
      <c r="E35" s="53" t="s">
        <v>18</v>
      </c>
      <c r="F35" s="53">
        <v>1</v>
      </c>
      <c r="G35" s="54">
        <v>6</v>
      </c>
      <c r="H35" s="54">
        <v>6</v>
      </c>
      <c r="I35" s="54">
        <v>3</v>
      </c>
      <c r="J35" s="54">
        <v>3</v>
      </c>
      <c r="K35" s="54">
        <v>3</v>
      </c>
      <c r="L35" s="55">
        <v>3</v>
      </c>
      <c r="M35" s="56">
        <v>0.5</v>
      </c>
      <c r="N35" s="56">
        <v>0.5</v>
      </c>
      <c r="O35" s="54">
        <v>180</v>
      </c>
      <c r="P35" s="55">
        <v>180</v>
      </c>
    </row>
    <row r="36" spans="1:16" x14ac:dyDescent="0.3">
      <c r="A36" s="58"/>
      <c r="B36" s="51" t="s">
        <v>96</v>
      </c>
      <c r="C36" s="51" t="s">
        <v>3</v>
      </c>
      <c r="D36" s="53" t="s">
        <v>138</v>
      </c>
      <c r="E36" s="53" t="s">
        <v>18</v>
      </c>
      <c r="F36" s="53">
        <v>1</v>
      </c>
      <c r="G36" s="54">
        <v>6</v>
      </c>
      <c r="H36" s="54">
        <v>6</v>
      </c>
      <c r="I36" s="54">
        <v>0</v>
      </c>
      <c r="J36" s="54">
        <v>0</v>
      </c>
      <c r="K36" s="54">
        <v>6</v>
      </c>
      <c r="L36" s="55">
        <v>6</v>
      </c>
      <c r="M36" s="56">
        <v>0</v>
      </c>
      <c r="N36" s="56">
        <v>0</v>
      </c>
      <c r="O36" s="54">
        <v>0</v>
      </c>
      <c r="P36" s="55">
        <v>360</v>
      </c>
    </row>
    <row r="37" spans="1:16" x14ac:dyDescent="0.3">
      <c r="B37" s="51" t="s">
        <v>262</v>
      </c>
      <c r="C37" s="51" t="s">
        <v>3</v>
      </c>
      <c r="D37" s="53" t="s">
        <v>124</v>
      </c>
      <c r="E37" s="53" t="s">
        <v>4</v>
      </c>
      <c r="F37" s="53">
        <v>1</v>
      </c>
      <c r="G37" s="54">
        <v>4</v>
      </c>
      <c r="H37" s="54">
        <v>2</v>
      </c>
      <c r="I37" s="54">
        <v>0</v>
      </c>
      <c r="J37" s="54">
        <v>0</v>
      </c>
      <c r="K37" s="54">
        <v>4</v>
      </c>
      <c r="L37" s="55">
        <v>2</v>
      </c>
      <c r="M37" s="56">
        <v>0</v>
      </c>
      <c r="N37" s="56">
        <v>0</v>
      </c>
      <c r="O37" s="54">
        <v>0</v>
      </c>
      <c r="P37" s="55">
        <v>160</v>
      </c>
    </row>
    <row r="38" spans="1:16" x14ac:dyDescent="0.3">
      <c r="B38" s="51" t="s">
        <v>420</v>
      </c>
      <c r="C38" s="51" t="s">
        <v>7</v>
      </c>
      <c r="D38" s="53" t="s">
        <v>462</v>
      </c>
      <c r="E38" s="53" t="s">
        <v>4</v>
      </c>
      <c r="F38" s="53">
        <v>1</v>
      </c>
      <c r="G38" s="54">
        <v>4</v>
      </c>
      <c r="H38" s="54">
        <v>2</v>
      </c>
      <c r="I38" s="54">
        <v>0</v>
      </c>
      <c r="J38" s="54">
        <v>0</v>
      </c>
      <c r="K38" s="54">
        <v>4</v>
      </c>
      <c r="L38" s="55">
        <v>2</v>
      </c>
      <c r="M38" s="56">
        <v>0</v>
      </c>
      <c r="N38" s="56">
        <v>0</v>
      </c>
      <c r="O38" s="54">
        <v>0</v>
      </c>
      <c r="P38" s="55">
        <v>160</v>
      </c>
    </row>
    <row r="39" spans="1:16" x14ac:dyDescent="0.3">
      <c r="B39" s="51" t="s">
        <v>301</v>
      </c>
      <c r="C39" s="51" t="s">
        <v>142</v>
      </c>
      <c r="D39" s="53" t="s">
        <v>51</v>
      </c>
      <c r="E39" s="53" t="s">
        <v>4</v>
      </c>
      <c r="F39" s="53">
        <v>1</v>
      </c>
      <c r="G39" s="54">
        <v>4</v>
      </c>
      <c r="H39" s="54">
        <v>2</v>
      </c>
      <c r="I39" s="54">
        <v>0</v>
      </c>
      <c r="J39" s="54">
        <v>0</v>
      </c>
      <c r="K39" s="54">
        <v>4</v>
      </c>
      <c r="L39" s="55">
        <v>2</v>
      </c>
      <c r="M39" s="56">
        <v>0</v>
      </c>
      <c r="N39" s="56">
        <v>0</v>
      </c>
      <c r="O39" s="54">
        <v>0</v>
      </c>
      <c r="P39" s="55">
        <v>160</v>
      </c>
    </row>
    <row r="40" spans="1:16" x14ac:dyDescent="0.3">
      <c r="B40" s="51" t="s">
        <v>194</v>
      </c>
      <c r="C40" s="51" t="s">
        <v>142</v>
      </c>
      <c r="D40" s="53" t="s">
        <v>47</v>
      </c>
      <c r="E40" s="53" t="s">
        <v>18</v>
      </c>
      <c r="F40" s="53">
        <v>1</v>
      </c>
      <c r="G40" s="54">
        <v>6</v>
      </c>
      <c r="H40" s="54">
        <v>6</v>
      </c>
      <c r="I40" s="54">
        <v>2</v>
      </c>
      <c r="J40" s="54">
        <v>2</v>
      </c>
      <c r="K40" s="54">
        <v>4</v>
      </c>
      <c r="L40" s="55">
        <v>4</v>
      </c>
      <c r="M40" s="56">
        <v>0.33333333333333331</v>
      </c>
      <c r="N40" s="56">
        <v>0.33333333333333331</v>
      </c>
      <c r="O40" s="54">
        <v>82</v>
      </c>
      <c r="P40" s="55">
        <v>240</v>
      </c>
    </row>
    <row r="41" spans="1:16" x14ac:dyDescent="0.3">
      <c r="B41" s="51" t="s">
        <v>293</v>
      </c>
      <c r="C41" s="51" t="s">
        <v>142</v>
      </c>
      <c r="D41" s="53" t="s">
        <v>136</v>
      </c>
      <c r="E41" s="53" t="s">
        <v>4</v>
      </c>
      <c r="F41" s="53">
        <v>1</v>
      </c>
      <c r="G41" s="54">
        <v>4</v>
      </c>
      <c r="H41" s="54">
        <v>2</v>
      </c>
      <c r="I41" s="54">
        <v>0</v>
      </c>
      <c r="J41" s="54">
        <v>0</v>
      </c>
      <c r="K41" s="54">
        <v>4</v>
      </c>
      <c r="L41" s="55">
        <v>2</v>
      </c>
      <c r="M41" s="56">
        <v>0</v>
      </c>
      <c r="N41" s="56">
        <v>0</v>
      </c>
      <c r="O41" s="54">
        <v>0</v>
      </c>
      <c r="P41" s="55">
        <v>160</v>
      </c>
    </row>
    <row r="42" spans="1:16" x14ac:dyDescent="0.3">
      <c r="B42" s="51" t="s">
        <v>111</v>
      </c>
      <c r="C42" s="51" t="s">
        <v>75</v>
      </c>
      <c r="D42" s="53" t="s">
        <v>118</v>
      </c>
      <c r="E42" s="53" t="s">
        <v>4</v>
      </c>
      <c r="F42" s="53">
        <v>1</v>
      </c>
      <c r="G42" s="54">
        <v>4</v>
      </c>
      <c r="H42" s="54">
        <v>2</v>
      </c>
      <c r="I42" s="54">
        <v>0</v>
      </c>
      <c r="J42" s="54">
        <v>0</v>
      </c>
      <c r="K42" s="54">
        <v>4</v>
      </c>
      <c r="L42" s="55">
        <v>2</v>
      </c>
      <c r="M42" s="56">
        <v>0</v>
      </c>
      <c r="N42" s="56">
        <v>0</v>
      </c>
      <c r="O42" s="54">
        <v>0</v>
      </c>
      <c r="P42" s="55">
        <v>160</v>
      </c>
    </row>
    <row r="43" spans="1:16" x14ac:dyDescent="0.3">
      <c r="B43" s="51" t="s">
        <v>283</v>
      </c>
      <c r="C43" s="51" t="s">
        <v>10</v>
      </c>
      <c r="D43" s="53" t="s">
        <v>145</v>
      </c>
      <c r="E43" s="53" t="s">
        <v>4</v>
      </c>
      <c r="F43" s="53">
        <v>1</v>
      </c>
      <c r="G43" s="54">
        <v>4</v>
      </c>
      <c r="H43" s="54">
        <v>2</v>
      </c>
      <c r="I43" s="54">
        <v>1</v>
      </c>
      <c r="J43" s="54">
        <v>0</v>
      </c>
      <c r="K43" s="54">
        <v>3</v>
      </c>
      <c r="L43" s="55">
        <v>2</v>
      </c>
      <c r="M43" s="56">
        <v>0.25</v>
      </c>
      <c r="N43" s="56">
        <v>0</v>
      </c>
      <c r="O43" s="54">
        <v>0</v>
      </c>
      <c r="P43" s="55">
        <v>140</v>
      </c>
    </row>
    <row r="44" spans="1:16" x14ac:dyDescent="0.3">
      <c r="B44" s="51" t="s">
        <v>226</v>
      </c>
      <c r="C44" s="51" t="s">
        <v>94</v>
      </c>
      <c r="D44" s="53" t="s">
        <v>126</v>
      </c>
      <c r="E44" s="53" t="s">
        <v>4</v>
      </c>
      <c r="F44" s="53">
        <v>1</v>
      </c>
      <c r="G44" s="54">
        <v>4</v>
      </c>
      <c r="H44" s="54">
        <v>2</v>
      </c>
      <c r="I44" s="54">
        <v>0</v>
      </c>
      <c r="J44" s="54">
        <v>0</v>
      </c>
      <c r="K44" s="54">
        <v>4</v>
      </c>
      <c r="L44" s="55">
        <v>2</v>
      </c>
      <c r="M44" s="56">
        <v>0</v>
      </c>
      <c r="N44" s="56">
        <v>0</v>
      </c>
      <c r="O44" s="54">
        <v>0</v>
      </c>
      <c r="P44" s="55">
        <v>160</v>
      </c>
    </row>
    <row r="45" spans="1:16" x14ac:dyDescent="0.3">
      <c r="B45" s="51" t="s">
        <v>188</v>
      </c>
      <c r="C45" s="51" t="s">
        <v>180</v>
      </c>
      <c r="D45" s="53" t="s">
        <v>90</v>
      </c>
      <c r="E45" s="53" t="s">
        <v>4</v>
      </c>
      <c r="F45" s="53">
        <v>1</v>
      </c>
      <c r="G45" s="54">
        <v>4</v>
      </c>
      <c r="H45" s="54">
        <v>2</v>
      </c>
      <c r="I45" s="54">
        <v>0</v>
      </c>
      <c r="J45" s="54">
        <v>0</v>
      </c>
      <c r="K45" s="54">
        <v>4</v>
      </c>
      <c r="L45" s="55">
        <v>2</v>
      </c>
      <c r="M45" s="56">
        <v>0</v>
      </c>
      <c r="N45" s="56">
        <v>0</v>
      </c>
      <c r="O45" s="54">
        <v>0</v>
      </c>
      <c r="P45" s="55">
        <v>160</v>
      </c>
    </row>
    <row r="46" spans="1:16" x14ac:dyDescent="0.3">
      <c r="B46" s="51" t="s">
        <v>165</v>
      </c>
      <c r="C46" s="51" t="s">
        <v>7</v>
      </c>
      <c r="D46" s="53" t="s">
        <v>61</v>
      </c>
      <c r="E46" s="53" t="s">
        <v>4</v>
      </c>
      <c r="F46" s="53">
        <v>1</v>
      </c>
      <c r="G46" s="54">
        <v>4</v>
      </c>
      <c r="H46" s="54">
        <v>2</v>
      </c>
      <c r="I46" s="54">
        <v>4</v>
      </c>
      <c r="J46" s="54">
        <v>2</v>
      </c>
      <c r="K46" s="54">
        <v>0</v>
      </c>
      <c r="L46" s="55">
        <v>0</v>
      </c>
      <c r="M46" s="56">
        <v>1</v>
      </c>
      <c r="N46" s="56">
        <v>1</v>
      </c>
      <c r="O46" s="54">
        <v>140</v>
      </c>
      <c r="P46" s="55">
        <v>0</v>
      </c>
    </row>
    <row r="47" spans="1:16" x14ac:dyDescent="0.3">
      <c r="B47" s="51" t="s">
        <v>159</v>
      </c>
      <c r="C47" s="51" t="s">
        <v>10</v>
      </c>
      <c r="D47" s="53" t="s">
        <v>53</v>
      </c>
      <c r="E47" s="53" t="s">
        <v>4</v>
      </c>
      <c r="F47" s="53">
        <v>2</v>
      </c>
      <c r="G47" s="54">
        <v>8</v>
      </c>
      <c r="H47" s="54">
        <v>4</v>
      </c>
      <c r="I47" s="54">
        <v>2</v>
      </c>
      <c r="J47" s="54">
        <v>0</v>
      </c>
      <c r="K47" s="54">
        <v>6</v>
      </c>
      <c r="L47" s="55">
        <v>4</v>
      </c>
      <c r="M47" s="56">
        <v>0.25</v>
      </c>
      <c r="N47" s="56">
        <v>0</v>
      </c>
      <c r="O47" s="54">
        <v>0</v>
      </c>
      <c r="P47" s="55">
        <v>280</v>
      </c>
    </row>
    <row r="48" spans="1:16" x14ac:dyDescent="0.3">
      <c r="B48" s="51" t="s">
        <v>56</v>
      </c>
      <c r="C48" s="51" t="s">
        <v>7</v>
      </c>
      <c r="D48" s="53" t="s">
        <v>108</v>
      </c>
      <c r="E48" s="53" t="s">
        <v>4</v>
      </c>
      <c r="F48" s="53">
        <v>1</v>
      </c>
      <c r="G48" s="54">
        <v>4</v>
      </c>
      <c r="H48" s="54">
        <v>2</v>
      </c>
      <c r="I48" s="54">
        <v>4</v>
      </c>
      <c r="J48" s="54">
        <v>2</v>
      </c>
      <c r="K48" s="54">
        <v>0</v>
      </c>
      <c r="L48" s="55">
        <v>0</v>
      </c>
      <c r="M48" s="56">
        <v>1</v>
      </c>
      <c r="N48" s="56">
        <v>1</v>
      </c>
      <c r="O48" s="54">
        <v>148</v>
      </c>
      <c r="P48" s="55">
        <v>0</v>
      </c>
    </row>
    <row r="49" spans="2:16" x14ac:dyDescent="0.3">
      <c r="B49" s="51" t="s">
        <v>395</v>
      </c>
      <c r="C49" s="51" t="s">
        <v>7</v>
      </c>
      <c r="D49" s="53" t="s">
        <v>463</v>
      </c>
      <c r="E49" s="53" t="s">
        <v>18</v>
      </c>
      <c r="F49" s="53">
        <v>1</v>
      </c>
      <c r="G49" s="54">
        <v>6</v>
      </c>
      <c r="H49" s="54">
        <v>6</v>
      </c>
      <c r="I49" s="54">
        <v>6</v>
      </c>
      <c r="J49" s="54">
        <v>6</v>
      </c>
      <c r="K49" s="54">
        <v>0</v>
      </c>
      <c r="L49" s="55">
        <v>0</v>
      </c>
      <c r="M49" s="56">
        <v>1</v>
      </c>
      <c r="N49" s="56">
        <v>1</v>
      </c>
      <c r="O49" s="54">
        <v>360</v>
      </c>
      <c r="P49" s="55">
        <v>0</v>
      </c>
    </row>
    <row r="50" spans="2:16" x14ac:dyDescent="0.3">
      <c r="B50" s="51" t="s">
        <v>133</v>
      </c>
      <c r="C50" s="51" t="s">
        <v>7</v>
      </c>
      <c r="D50" s="53" t="s">
        <v>110</v>
      </c>
      <c r="E50" s="53" t="s">
        <v>4</v>
      </c>
      <c r="F50" s="53">
        <v>1</v>
      </c>
      <c r="G50" s="54">
        <v>4</v>
      </c>
      <c r="H50" s="54">
        <v>2</v>
      </c>
      <c r="I50" s="54">
        <v>0</v>
      </c>
      <c r="J50" s="54">
        <v>0</v>
      </c>
      <c r="K50" s="54">
        <v>4</v>
      </c>
      <c r="L50" s="55">
        <v>2</v>
      </c>
      <c r="M50" s="56">
        <v>0</v>
      </c>
      <c r="N50" s="56">
        <v>0</v>
      </c>
      <c r="O50" s="54">
        <v>0</v>
      </c>
      <c r="P50" s="55">
        <v>160</v>
      </c>
    </row>
    <row r="51" spans="2:16" x14ac:dyDescent="0.3">
      <c r="B51" s="51" t="s">
        <v>115</v>
      </c>
      <c r="C51" s="51" t="s">
        <v>14</v>
      </c>
      <c r="D51" s="53" t="s">
        <v>147</v>
      </c>
      <c r="E51" s="53" t="s">
        <v>4</v>
      </c>
      <c r="F51" s="53">
        <v>2</v>
      </c>
      <c r="G51" s="54">
        <v>8</v>
      </c>
      <c r="H51" s="54">
        <v>4</v>
      </c>
      <c r="I51" s="54">
        <v>0</v>
      </c>
      <c r="J51" s="54">
        <v>0</v>
      </c>
      <c r="K51" s="54">
        <v>8</v>
      </c>
      <c r="L51" s="55">
        <v>4</v>
      </c>
      <c r="M51" s="56">
        <v>0</v>
      </c>
      <c r="N51" s="56">
        <v>0</v>
      </c>
      <c r="O51" s="54">
        <v>0</v>
      </c>
      <c r="P51" s="55">
        <v>320</v>
      </c>
    </row>
    <row r="52" spans="2:16" x14ac:dyDescent="0.3">
      <c r="B52" s="51" t="s">
        <v>13</v>
      </c>
      <c r="C52" s="51" t="s">
        <v>14</v>
      </c>
      <c r="D52" s="53" t="s">
        <v>78</v>
      </c>
      <c r="E52" s="53" t="s">
        <v>4</v>
      </c>
      <c r="F52" s="53">
        <v>1</v>
      </c>
      <c r="G52" s="54">
        <v>4</v>
      </c>
      <c r="H52" s="54">
        <v>2</v>
      </c>
      <c r="I52" s="54">
        <v>3</v>
      </c>
      <c r="J52" s="54">
        <v>2</v>
      </c>
      <c r="K52" s="54">
        <v>1</v>
      </c>
      <c r="L52" s="55">
        <v>0</v>
      </c>
      <c r="M52" s="56">
        <v>0.75</v>
      </c>
      <c r="N52" s="56">
        <v>1</v>
      </c>
      <c r="O52" s="54">
        <v>82</v>
      </c>
      <c r="P52" s="55">
        <v>20</v>
      </c>
    </row>
    <row r="53" spans="2:16" x14ac:dyDescent="0.3">
      <c r="B53" s="51" t="s">
        <v>87</v>
      </c>
      <c r="C53" s="51" t="s">
        <v>7</v>
      </c>
      <c r="D53" s="53" t="s">
        <v>106</v>
      </c>
      <c r="E53" s="53" t="s">
        <v>11</v>
      </c>
      <c r="F53" s="53">
        <v>2</v>
      </c>
      <c r="G53" s="54">
        <v>16</v>
      </c>
      <c r="H53" s="54">
        <v>16</v>
      </c>
      <c r="I53" s="54">
        <v>13</v>
      </c>
      <c r="J53" s="54">
        <v>12</v>
      </c>
      <c r="K53" s="54">
        <v>3</v>
      </c>
      <c r="L53" s="55">
        <v>4</v>
      </c>
      <c r="M53" s="56">
        <v>0.8125</v>
      </c>
      <c r="N53" s="56">
        <v>0.75</v>
      </c>
      <c r="O53" s="54">
        <v>720</v>
      </c>
      <c r="P53" s="55">
        <v>220</v>
      </c>
    </row>
    <row r="54" spans="2:16" x14ac:dyDescent="0.3">
      <c r="B54" s="51" t="s">
        <v>281</v>
      </c>
      <c r="C54" s="51" t="s">
        <v>142</v>
      </c>
      <c r="D54" s="53" t="s">
        <v>88</v>
      </c>
      <c r="E54" s="53" t="s">
        <v>4</v>
      </c>
      <c r="F54" s="53">
        <v>1</v>
      </c>
      <c r="G54" s="54">
        <v>4</v>
      </c>
      <c r="H54" s="54">
        <v>2</v>
      </c>
      <c r="I54" s="54">
        <v>0</v>
      </c>
      <c r="J54" s="54">
        <v>0</v>
      </c>
      <c r="K54" s="54">
        <v>4</v>
      </c>
      <c r="L54" s="55">
        <v>2</v>
      </c>
      <c r="M54" s="56">
        <v>0</v>
      </c>
      <c r="N54" s="56">
        <v>0</v>
      </c>
      <c r="O54" s="54">
        <v>0</v>
      </c>
      <c r="P54" s="55">
        <v>160</v>
      </c>
    </row>
    <row r="55" spans="2:16" x14ac:dyDescent="0.3">
      <c r="B55" s="51" t="s">
        <v>246</v>
      </c>
      <c r="C55" s="51" t="s">
        <v>142</v>
      </c>
      <c r="D55" s="53" t="s">
        <v>59</v>
      </c>
      <c r="E55" s="53" t="s">
        <v>11</v>
      </c>
      <c r="F55" s="53">
        <v>3</v>
      </c>
      <c r="G55" s="54">
        <v>24</v>
      </c>
      <c r="H55" s="54">
        <v>24</v>
      </c>
      <c r="I55" s="54">
        <v>9</v>
      </c>
      <c r="J55" s="54">
        <v>5</v>
      </c>
      <c r="K55" s="54">
        <v>15</v>
      </c>
      <c r="L55" s="55">
        <v>19</v>
      </c>
      <c r="M55" s="56">
        <v>0.375</v>
      </c>
      <c r="N55" s="56">
        <v>0.20833333333333334</v>
      </c>
      <c r="O55" s="54">
        <v>340</v>
      </c>
      <c r="P55" s="55">
        <v>1060</v>
      </c>
    </row>
    <row r="56" spans="2:16" x14ac:dyDescent="0.3">
      <c r="B56" s="51" t="s">
        <v>20</v>
      </c>
      <c r="C56" s="51" t="s">
        <v>14</v>
      </c>
      <c r="D56" s="53" t="s">
        <v>152</v>
      </c>
      <c r="E56" s="53" t="s">
        <v>11</v>
      </c>
      <c r="F56" s="53">
        <v>1</v>
      </c>
      <c r="G56" s="54">
        <v>8</v>
      </c>
      <c r="H56" s="54">
        <v>8</v>
      </c>
      <c r="I56" s="54">
        <v>0</v>
      </c>
      <c r="J56" s="54">
        <v>0</v>
      </c>
      <c r="K56" s="54">
        <v>8</v>
      </c>
      <c r="L56" s="55">
        <v>8</v>
      </c>
      <c r="M56" s="56">
        <v>0</v>
      </c>
      <c r="N56" s="56">
        <v>0</v>
      </c>
      <c r="O56" s="54">
        <v>0</v>
      </c>
      <c r="P56" s="55">
        <v>480</v>
      </c>
    </row>
    <row r="57" spans="2:16" x14ac:dyDescent="0.3">
      <c r="B57" s="51" t="s">
        <v>41</v>
      </c>
      <c r="C57" s="51" t="s">
        <v>14</v>
      </c>
      <c r="D57" s="53" t="s">
        <v>128</v>
      </c>
      <c r="E57" s="53" t="s">
        <v>11</v>
      </c>
      <c r="F57" s="53">
        <v>2</v>
      </c>
      <c r="G57" s="54">
        <v>16</v>
      </c>
      <c r="H57" s="54">
        <v>16</v>
      </c>
      <c r="I57" s="54">
        <v>10</v>
      </c>
      <c r="J57" s="54">
        <v>4</v>
      </c>
      <c r="K57" s="54">
        <v>6</v>
      </c>
      <c r="L57" s="55">
        <v>12</v>
      </c>
      <c r="M57" s="56">
        <v>0.625</v>
      </c>
      <c r="N57" s="56">
        <v>0.25</v>
      </c>
      <c r="O57" s="54">
        <v>200</v>
      </c>
      <c r="P57" s="55">
        <v>600</v>
      </c>
    </row>
    <row r="58" spans="2:16" x14ac:dyDescent="0.3">
      <c r="B58" s="51" t="s">
        <v>318</v>
      </c>
      <c r="C58" s="51" t="s">
        <v>14</v>
      </c>
      <c r="D58" s="53" t="s">
        <v>40</v>
      </c>
      <c r="E58" s="53" t="s">
        <v>4</v>
      </c>
      <c r="F58" s="53">
        <v>1</v>
      </c>
      <c r="G58" s="54">
        <v>4</v>
      </c>
      <c r="H58" s="54">
        <v>2</v>
      </c>
      <c r="I58" s="54">
        <v>0</v>
      </c>
      <c r="J58" s="54">
        <v>0</v>
      </c>
      <c r="K58" s="54">
        <v>4</v>
      </c>
      <c r="L58" s="55">
        <v>2</v>
      </c>
      <c r="M58" s="56">
        <v>0</v>
      </c>
      <c r="N58" s="56">
        <v>0</v>
      </c>
      <c r="O58" s="54">
        <v>0</v>
      </c>
      <c r="P58" s="55">
        <v>160</v>
      </c>
    </row>
    <row r="59" spans="2:16" x14ac:dyDescent="0.3">
      <c r="B59" s="51" t="s">
        <v>186</v>
      </c>
      <c r="C59" s="51" t="s">
        <v>14</v>
      </c>
      <c r="D59" s="53" t="s">
        <v>69</v>
      </c>
      <c r="E59" s="53" t="s">
        <v>4</v>
      </c>
      <c r="F59" s="53">
        <v>2</v>
      </c>
      <c r="G59" s="54">
        <v>8</v>
      </c>
      <c r="H59" s="54">
        <v>4</v>
      </c>
      <c r="I59" s="54">
        <v>0</v>
      </c>
      <c r="J59" s="54">
        <v>0</v>
      </c>
      <c r="K59" s="54">
        <v>8</v>
      </c>
      <c r="L59" s="55">
        <v>4</v>
      </c>
      <c r="M59" s="56">
        <v>0</v>
      </c>
      <c r="N59" s="56">
        <v>0</v>
      </c>
      <c r="O59" s="54">
        <v>0</v>
      </c>
      <c r="P59" s="55">
        <v>320</v>
      </c>
    </row>
    <row r="60" spans="2:16" x14ac:dyDescent="0.3">
      <c r="B60" s="51" t="s">
        <v>381</v>
      </c>
      <c r="C60" s="51" t="s">
        <v>14</v>
      </c>
      <c r="D60" s="53" t="s">
        <v>73</v>
      </c>
      <c r="E60" s="53" t="s">
        <v>4</v>
      </c>
      <c r="F60" s="53">
        <v>1</v>
      </c>
      <c r="G60" s="54">
        <v>4</v>
      </c>
      <c r="H60" s="54">
        <v>2</v>
      </c>
      <c r="I60" s="54">
        <v>0</v>
      </c>
      <c r="J60" s="54">
        <v>0</v>
      </c>
      <c r="K60" s="54">
        <v>4</v>
      </c>
      <c r="L60" s="55">
        <v>2</v>
      </c>
      <c r="M60" s="56">
        <v>0</v>
      </c>
      <c r="N60" s="56">
        <v>0</v>
      </c>
      <c r="O60" s="54">
        <v>0</v>
      </c>
      <c r="P60" s="55">
        <v>160</v>
      </c>
    </row>
    <row r="61" spans="2:16" x14ac:dyDescent="0.3">
      <c r="B61" s="51" t="s">
        <v>131</v>
      </c>
      <c r="C61" s="51" t="s">
        <v>14</v>
      </c>
      <c r="D61" s="53" t="s">
        <v>49</v>
      </c>
      <c r="E61" s="53" t="s">
        <v>4</v>
      </c>
      <c r="F61" s="53">
        <v>1</v>
      </c>
      <c r="G61" s="54">
        <v>4</v>
      </c>
      <c r="H61" s="54">
        <v>2</v>
      </c>
      <c r="I61" s="54">
        <v>0</v>
      </c>
      <c r="J61" s="54">
        <v>0</v>
      </c>
      <c r="K61" s="54">
        <v>4</v>
      </c>
      <c r="L61" s="55">
        <v>2</v>
      </c>
      <c r="M61" s="56">
        <v>0</v>
      </c>
      <c r="N61" s="56">
        <v>0</v>
      </c>
      <c r="O61" s="54">
        <v>0</v>
      </c>
      <c r="P61" s="55">
        <v>160</v>
      </c>
    </row>
    <row r="62" spans="2:16" x14ac:dyDescent="0.3">
      <c r="B62" s="51" t="s">
        <v>414</v>
      </c>
      <c r="C62" s="51" t="s">
        <v>14</v>
      </c>
      <c r="D62" s="53" t="s">
        <v>464</v>
      </c>
      <c r="E62" s="53" t="s">
        <v>4</v>
      </c>
      <c r="F62" s="53">
        <v>1</v>
      </c>
      <c r="G62" s="54">
        <v>4</v>
      </c>
      <c r="H62" s="54">
        <v>2</v>
      </c>
      <c r="I62" s="54">
        <v>0</v>
      </c>
      <c r="J62" s="54">
        <v>0</v>
      </c>
      <c r="K62" s="54">
        <v>4</v>
      </c>
      <c r="L62" s="55">
        <v>2</v>
      </c>
      <c r="M62" s="56">
        <v>0</v>
      </c>
      <c r="N62" s="56">
        <v>0</v>
      </c>
      <c r="O62" s="54">
        <v>0</v>
      </c>
      <c r="P62" s="55">
        <v>160</v>
      </c>
    </row>
    <row r="63" spans="2:16" x14ac:dyDescent="0.3">
      <c r="B63" s="51" t="s">
        <v>155</v>
      </c>
      <c r="C63" s="51" t="s">
        <v>14</v>
      </c>
      <c r="D63" s="53" t="s">
        <v>80</v>
      </c>
      <c r="E63" s="53" t="s">
        <v>4</v>
      </c>
      <c r="F63" s="53">
        <v>2</v>
      </c>
      <c r="G63" s="54">
        <v>8</v>
      </c>
      <c r="H63" s="54">
        <v>4</v>
      </c>
      <c r="I63" s="54">
        <v>2</v>
      </c>
      <c r="J63" s="54">
        <v>0</v>
      </c>
      <c r="K63" s="54">
        <v>6</v>
      </c>
      <c r="L63" s="55">
        <v>4</v>
      </c>
      <c r="M63" s="56">
        <v>0.25</v>
      </c>
      <c r="N63" s="56">
        <v>0</v>
      </c>
      <c r="O63" s="54">
        <v>0</v>
      </c>
      <c r="P63" s="55">
        <v>280</v>
      </c>
    </row>
    <row r="64" spans="2:16" x14ac:dyDescent="0.3">
      <c r="B64" s="51" t="s">
        <v>285</v>
      </c>
      <c r="C64" s="51" t="s">
        <v>46</v>
      </c>
      <c r="D64" s="53" t="s">
        <v>140</v>
      </c>
      <c r="E64" s="53" t="s">
        <v>4</v>
      </c>
      <c r="F64" s="53">
        <v>1</v>
      </c>
      <c r="G64" s="54">
        <v>4</v>
      </c>
      <c r="H64" s="54">
        <v>2</v>
      </c>
      <c r="I64" s="54">
        <v>0</v>
      </c>
      <c r="J64" s="54">
        <v>0</v>
      </c>
      <c r="K64" s="54">
        <v>4</v>
      </c>
      <c r="L64" s="55">
        <v>2</v>
      </c>
      <c r="M64" s="56">
        <v>0</v>
      </c>
      <c r="N64" s="56">
        <v>0</v>
      </c>
      <c r="O64" s="54">
        <v>0</v>
      </c>
      <c r="P64" s="55">
        <v>160</v>
      </c>
    </row>
    <row r="65" spans="2:16" x14ac:dyDescent="0.3">
      <c r="B65" s="51" t="s">
        <v>419</v>
      </c>
      <c r="C65" s="51" t="s">
        <v>46</v>
      </c>
      <c r="D65" s="53" t="s">
        <v>465</v>
      </c>
      <c r="E65" s="53" t="s">
        <v>4</v>
      </c>
      <c r="F65" s="53">
        <v>1</v>
      </c>
      <c r="G65" s="54">
        <v>4</v>
      </c>
      <c r="H65" s="54">
        <v>2</v>
      </c>
      <c r="I65" s="54">
        <v>0</v>
      </c>
      <c r="J65" s="54">
        <v>0</v>
      </c>
      <c r="K65" s="54">
        <v>4</v>
      </c>
      <c r="L65" s="55">
        <v>2</v>
      </c>
      <c r="M65" s="56">
        <v>0</v>
      </c>
      <c r="N65" s="56">
        <v>0</v>
      </c>
      <c r="O65" s="54">
        <v>0</v>
      </c>
      <c r="P65" s="55">
        <v>160</v>
      </c>
    </row>
    <row r="66" spans="2:16" x14ac:dyDescent="0.3">
      <c r="B66" s="51" t="s">
        <v>397</v>
      </c>
      <c r="C66" s="51" t="s">
        <v>10</v>
      </c>
      <c r="D66" s="53" t="s">
        <v>466</v>
      </c>
      <c r="E66" s="53" t="s">
        <v>4</v>
      </c>
      <c r="F66" s="53">
        <v>1</v>
      </c>
      <c r="G66" s="54">
        <v>4</v>
      </c>
      <c r="H66" s="54">
        <v>2</v>
      </c>
      <c r="I66" s="54">
        <v>0</v>
      </c>
      <c r="J66" s="54">
        <v>0</v>
      </c>
      <c r="K66" s="54">
        <v>4</v>
      </c>
      <c r="L66" s="55">
        <v>2</v>
      </c>
      <c r="M66" s="56">
        <v>0</v>
      </c>
      <c r="N66" s="56">
        <v>0</v>
      </c>
      <c r="O66" s="54">
        <v>0</v>
      </c>
      <c r="P66" s="55">
        <v>160</v>
      </c>
    </row>
    <row r="67" spans="2:16" x14ac:dyDescent="0.3">
      <c r="B67" s="51" t="s">
        <v>113</v>
      </c>
      <c r="C67" s="51" t="s">
        <v>39</v>
      </c>
      <c r="D67" s="53" t="s">
        <v>63</v>
      </c>
      <c r="E67" s="53" t="s">
        <v>4</v>
      </c>
      <c r="F67" s="53">
        <v>2</v>
      </c>
      <c r="G67" s="54">
        <v>8</v>
      </c>
      <c r="H67" s="54">
        <v>4</v>
      </c>
      <c r="I67" s="54">
        <v>1</v>
      </c>
      <c r="J67" s="54">
        <v>0</v>
      </c>
      <c r="K67" s="54">
        <v>7</v>
      </c>
      <c r="L67" s="55">
        <v>4</v>
      </c>
      <c r="M67" s="56">
        <v>0.125</v>
      </c>
      <c r="N67" s="56">
        <v>0</v>
      </c>
      <c r="O67" s="54">
        <v>0</v>
      </c>
      <c r="P67" s="55">
        <v>300</v>
      </c>
    </row>
    <row r="68" spans="2:16" x14ac:dyDescent="0.3">
      <c r="B68" s="51" t="s">
        <v>385</v>
      </c>
      <c r="C68" s="51" t="s">
        <v>39</v>
      </c>
      <c r="D68" s="53" t="s">
        <v>112</v>
      </c>
      <c r="E68" s="53" t="s">
        <v>4</v>
      </c>
      <c r="F68" s="53">
        <v>1</v>
      </c>
      <c r="G68" s="54">
        <v>4</v>
      </c>
      <c r="H68" s="54">
        <v>2</v>
      </c>
      <c r="I68" s="54">
        <v>0</v>
      </c>
      <c r="J68" s="54">
        <v>0</v>
      </c>
      <c r="K68" s="54">
        <v>4</v>
      </c>
      <c r="L68" s="55">
        <v>2</v>
      </c>
      <c r="M68" s="56">
        <v>0</v>
      </c>
      <c r="N68" s="56">
        <v>0</v>
      </c>
      <c r="O68" s="54">
        <v>0</v>
      </c>
      <c r="P68" s="55">
        <v>160</v>
      </c>
    </row>
    <row r="69" spans="2:16" x14ac:dyDescent="0.3">
      <c r="B69" s="51" t="s">
        <v>417</v>
      </c>
      <c r="C69" s="51" t="s">
        <v>14</v>
      </c>
      <c r="D69" s="53" t="s">
        <v>467</v>
      </c>
      <c r="E69" s="53" t="s">
        <v>4</v>
      </c>
      <c r="F69" s="53">
        <v>1</v>
      </c>
      <c r="G69" s="54">
        <v>4</v>
      </c>
      <c r="H69" s="54">
        <v>2</v>
      </c>
      <c r="I69" s="54">
        <v>0</v>
      </c>
      <c r="J69" s="54">
        <v>0</v>
      </c>
      <c r="K69" s="54">
        <v>4</v>
      </c>
      <c r="L69" s="55">
        <v>2</v>
      </c>
      <c r="M69" s="56">
        <v>0</v>
      </c>
      <c r="N69" s="56">
        <v>0</v>
      </c>
      <c r="O69" s="54">
        <v>0</v>
      </c>
      <c r="P69" s="55">
        <v>160</v>
      </c>
    </row>
    <row r="70" spans="2:16" x14ac:dyDescent="0.3">
      <c r="B70" s="51" t="s">
        <v>344</v>
      </c>
      <c r="C70" s="51" t="s">
        <v>7</v>
      </c>
      <c r="D70" s="53" t="s">
        <v>92</v>
      </c>
      <c r="E70" s="53" t="s">
        <v>4</v>
      </c>
      <c r="F70" s="53">
        <v>1</v>
      </c>
      <c r="G70" s="54">
        <v>4</v>
      </c>
      <c r="H70" s="54">
        <v>2</v>
      </c>
      <c r="I70" s="54">
        <v>0</v>
      </c>
      <c r="J70" s="54">
        <v>0</v>
      </c>
      <c r="K70" s="54">
        <v>4</v>
      </c>
      <c r="L70" s="55">
        <v>2</v>
      </c>
      <c r="M70" s="56">
        <v>0</v>
      </c>
      <c r="N70" s="56">
        <v>0</v>
      </c>
      <c r="O70" s="54">
        <v>0</v>
      </c>
      <c r="P70" s="55">
        <v>160</v>
      </c>
    </row>
    <row r="71" spans="2:16" x14ac:dyDescent="0.3">
      <c r="B71" s="51" t="s">
        <v>403</v>
      </c>
      <c r="C71" s="51" t="s">
        <v>7</v>
      </c>
      <c r="D71" s="53" t="s">
        <v>468</v>
      </c>
      <c r="E71" s="53" t="s">
        <v>4</v>
      </c>
      <c r="F71" s="53">
        <v>1</v>
      </c>
      <c r="G71" s="54">
        <v>4</v>
      </c>
      <c r="H71" s="54">
        <v>2</v>
      </c>
      <c r="I71" s="54">
        <v>0</v>
      </c>
      <c r="J71" s="54">
        <v>0</v>
      </c>
      <c r="K71" s="54">
        <v>4</v>
      </c>
      <c r="L71" s="55">
        <v>2</v>
      </c>
      <c r="M71" s="56">
        <v>0</v>
      </c>
      <c r="N71" s="56">
        <v>0</v>
      </c>
      <c r="O71" s="54">
        <v>0</v>
      </c>
      <c r="P71" s="55">
        <v>160</v>
      </c>
    </row>
    <row r="72" spans="2:16" x14ac:dyDescent="0.3">
      <c r="B72" s="51" t="s">
        <v>184</v>
      </c>
      <c r="C72" s="51" t="s">
        <v>7</v>
      </c>
      <c r="D72" s="53" t="s">
        <v>44</v>
      </c>
      <c r="E72" s="53" t="s">
        <v>4</v>
      </c>
      <c r="F72" s="53">
        <v>1</v>
      </c>
      <c r="G72" s="54">
        <v>4</v>
      </c>
      <c r="H72" s="54">
        <v>2</v>
      </c>
      <c r="I72" s="54">
        <v>4</v>
      </c>
      <c r="J72" s="54">
        <v>2</v>
      </c>
      <c r="K72" s="54">
        <v>0</v>
      </c>
      <c r="L72" s="55">
        <v>0</v>
      </c>
      <c r="M72" s="56">
        <v>1</v>
      </c>
      <c r="N72" s="56">
        <v>1</v>
      </c>
      <c r="O72" s="54">
        <v>140</v>
      </c>
      <c r="P72" s="55">
        <v>0</v>
      </c>
    </row>
    <row r="73" spans="2:16" x14ac:dyDescent="0.3">
      <c r="B73" s="51" t="s">
        <v>93</v>
      </c>
      <c r="C73" s="51" t="s">
        <v>94</v>
      </c>
      <c r="D73" s="53" t="s">
        <v>114</v>
      </c>
      <c r="E73" s="53" t="s">
        <v>4</v>
      </c>
      <c r="F73" s="53">
        <v>1</v>
      </c>
      <c r="G73" s="54">
        <v>4</v>
      </c>
      <c r="H73" s="54">
        <v>2</v>
      </c>
      <c r="I73" s="54">
        <v>0</v>
      </c>
      <c r="J73" s="54">
        <v>0</v>
      </c>
      <c r="K73" s="54">
        <v>4</v>
      </c>
      <c r="L73" s="55">
        <v>2</v>
      </c>
      <c r="M73" s="56">
        <v>0</v>
      </c>
      <c r="N73" s="56">
        <v>0</v>
      </c>
      <c r="O73" s="54">
        <v>0</v>
      </c>
      <c r="P73" s="55">
        <v>160</v>
      </c>
    </row>
    <row r="74" spans="2:16" x14ac:dyDescent="0.3">
      <c r="B74" s="51" t="s">
        <v>192</v>
      </c>
      <c r="C74" s="51" t="s">
        <v>39</v>
      </c>
      <c r="D74" s="53" t="s">
        <v>130</v>
      </c>
      <c r="E74" s="53" t="s">
        <v>18</v>
      </c>
      <c r="F74" s="53">
        <v>1</v>
      </c>
      <c r="G74" s="54">
        <v>6</v>
      </c>
      <c r="H74" s="54">
        <v>6</v>
      </c>
      <c r="I74" s="54">
        <v>0</v>
      </c>
      <c r="J74" s="54">
        <v>0</v>
      </c>
      <c r="K74" s="54">
        <v>6</v>
      </c>
      <c r="L74" s="55">
        <v>6</v>
      </c>
      <c r="M74" s="56">
        <v>0</v>
      </c>
      <c r="N74" s="56">
        <v>0</v>
      </c>
      <c r="O74" s="54">
        <v>0</v>
      </c>
      <c r="P74" s="55">
        <v>360</v>
      </c>
    </row>
    <row r="75" spans="2:16" x14ac:dyDescent="0.3">
      <c r="B75" s="51" t="s">
        <v>350</v>
      </c>
      <c r="C75" s="51" t="s">
        <v>14</v>
      </c>
      <c r="D75" s="53" t="s">
        <v>101</v>
      </c>
      <c r="E75" s="53" t="s">
        <v>4</v>
      </c>
      <c r="F75" s="53">
        <v>1</v>
      </c>
      <c r="G75" s="54">
        <v>4</v>
      </c>
      <c r="H75" s="54">
        <v>2</v>
      </c>
      <c r="I75" s="54">
        <v>0</v>
      </c>
      <c r="J75" s="54">
        <v>0</v>
      </c>
      <c r="K75" s="54">
        <v>4</v>
      </c>
      <c r="L75" s="55">
        <v>2</v>
      </c>
      <c r="M75" s="56">
        <v>0</v>
      </c>
      <c r="N75" s="56">
        <v>0</v>
      </c>
      <c r="O75" s="54">
        <v>0</v>
      </c>
      <c r="P75" s="55">
        <v>160</v>
      </c>
    </row>
    <row r="76" spans="2:16" x14ac:dyDescent="0.3">
      <c r="B76" s="51" t="s">
        <v>373</v>
      </c>
      <c r="C76" s="51" t="s">
        <v>7</v>
      </c>
      <c r="D76" s="53" t="s">
        <v>469</v>
      </c>
      <c r="E76" s="53" t="s">
        <v>11</v>
      </c>
      <c r="F76" s="53">
        <v>2</v>
      </c>
      <c r="G76" s="54">
        <v>16</v>
      </c>
      <c r="H76" s="54">
        <v>16</v>
      </c>
      <c r="I76" s="54">
        <v>12</v>
      </c>
      <c r="J76" s="54">
        <v>12</v>
      </c>
      <c r="K76" s="54">
        <v>4</v>
      </c>
      <c r="L76" s="55">
        <v>4</v>
      </c>
      <c r="M76" s="56">
        <v>0.75</v>
      </c>
      <c r="N76" s="56">
        <v>0.75</v>
      </c>
      <c r="O76" s="54">
        <v>600</v>
      </c>
      <c r="P76" s="55">
        <v>240</v>
      </c>
    </row>
    <row r="77" spans="2:16" x14ac:dyDescent="0.3">
      <c r="B77" s="51" t="s">
        <v>346</v>
      </c>
      <c r="C77" s="51" t="s">
        <v>46</v>
      </c>
      <c r="D77" s="53" t="s">
        <v>55</v>
      </c>
      <c r="E77" s="53" t="s">
        <v>18</v>
      </c>
      <c r="F77" s="53">
        <v>1</v>
      </c>
      <c r="G77" s="54">
        <v>6</v>
      </c>
      <c r="H77" s="54">
        <v>6</v>
      </c>
      <c r="I77" s="54">
        <v>0</v>
      </c>
      <c r="J77" s="54">
        <v>0</v>
      </c>
      <c r="K77" s="54">
        <v>6</v>
      </c>
      <c r="L77" s="55">
        <v>6</v>
      </c>
      <c r="M77" s="56">
        <v>0</v>
      </c>
      <c r="N77" s="56">
        <v>0</v>
      </c>
      <c r="O77" s="54">
        <v>0</v>
      </c>
      <c r="P77" s="55">
        <v>360</v>
      </c>
    </row>
    <row r="78" spans="2:16" x14ac:dyDescent="0.3">
      <c r="B78" s="51" t="s">
        <v>275</v>
      </c>
      <c r="C78" s="51" t="s">
        <v>3</v>
      </c>
      <c r="D78" s="53" t="s">
        <v>120</v>
      </c>
      <c r="E78" s="53" t="s">
        <v>11</v>
      </c>
      <c r="F78" s="53">
        <v>1</v>
      </c>
      <c r="G78" s="54">
        <v>8</v>
      </c>
      <c r="H78" s="54">
        <v>8</v>
      </c>
      <c r="I78" s="54">
        <v>0</v>
      </c>
      <c r="J78" s="54">
        <v>0</v>
      </c>
      <c r="K78" s="54">
        <v>8</v>
      </c>
      <c r="L78" s="55">
        <v>8</v>
      </c>
      <c r="M78" s="56">
        <v>0</v>
      </c>
      <c r="N78" s="56">
        <v>0</v>
      </c>
      <c r="O78" s="54">
        <v>0</v>
      </c>
      <c r="P78" s="55">
        <v>480</v>
      </c>
    </row>
    <row r="79" spans="2:16" x14ac:dyDescent="0.3">
      <c r="B79" s="51" t="s">
        <v>375</v>
      </c>
      <c r="C79" s="51" t="s">
        <v>7</v>
      </c>
      <c r="D79" s="53" t="s">
        <v>148</v>
      </c>
      <c r="E79" s="53" t="s">
        <v>4</v>
      </c>
      <c r="F79" s="53">
        <v>1</v>
      </c>
      <c r="G79" s="54">
        <v>4</v>
      </c>
      <c r="H79" s="54">
        <v>2</v>
      </c>
      <c r="I79" s="54">
        <v>2</v>
      </c>
      <c r="J79" s="54">
        <v>1</v>
      </c>
      <c r="K79" s="54">
        <v>2</v>
      </c>
      <c r="L79" s="55">
        <v>1</v>
      </c>
      <c r="M79" s="56">
        <v>0.5</v>
      </c>
      <c r="N79" s="56">
        <v>0.5</v>
      </c>
      <c r="O79" s="54">
        <v>40</v>
      </c>
      <c r="P79" s="55">
        <v>80</v>
      </c>
    </row>
    <row r="80" spans="2:16" x14ac:dyDescent="0.3">
      <c r="B80" s="51" t="s">
        <v>54</v>
      </c>
      <c r="C80" s="51" t="s">
        <v>14</v>
      </c>
      <c r="D80" s="53" t="s">
        <v>164</v>
      </c>
      <c r="E80" s="53" t="s">
        <v>4</v>
      </c>
      <c r="F80" s="53">
        <v>1</v>
      </c>
      <c r="G80" s="54">
        <v>4</v>
      </c>
      <c r="H80" s="54">
        <v>2</v>
      </c>
      <c r="I80" s="54">
        <v>2</v>
      </c>
      <c r="J80" s="54">
        <v>2</v>
      </c>
      <c r="K80" s="54">
        <v>2</v>
      </c>
      <c r="L80" s="55">
        <v>0</v>
      </c>
      <c r="M80" s="56">
        <v>0.5</v>
      </c>
      <c r="N80" s="56">
        <v>1</v>
      </c>
      <c r="O80" s="54">
        <v>0</v>
      </c>
      <c r="P80" s="55">
        <v>40</v>
      </c>
    </row>
    <row r="81" spans="2:16" x14ac:dyDescent="0.3">
      <c r="B81" s="51" t="s">
        <v>377</v>
      </c>
      <c r="C81" s="51" t="s">
        <v>14</v>
      </c>
      <c r="D81" s="53" t="s">
        <v>470</v>
      </c>
      <c r="E81" s="53" t="s">
        <v>11</v>
      </c>
      <c r="F81" s="53">
        <v>1</v>
      </c>
      <c r="G81" s="54">
        <v>8</v>
      </c>
      <c r="H81" s="54">
        <v>8</v>
      </c>
      <c r="I81" s="54">
        <v>0</v>
      </c>
      <c r="J81" s="54">
        <v>0</v>
      </c>
      <c r="K81" s="54">
        <v>8</v>
      </c>
      <c r="L81" s="55">
        <v>8</v>
      </c>
      <c r="M81" s="56">
        <v>0</v>
      </c>
      <c r="N81" s="56">
        <v>0</v>
      </c>
      <c r="O81" s="54">
        <v>0</v>
      </c>
      <c r="P81" s="55">
        <v>480</v>
      </c>
    </row>
    <row r="82" spans="2:16" x14ac:dyDescent="0.3">
      <c r="B82" s="51" t="s">
        <v>320</v>
      </c>
      <c r="C82" s="51" t="s">
        <v>14</v>
      </c>
      <c r="D82" s="53" t="s">
        <v>229</v>
      </c>
      <c r="E82" s="53" t="s">
        <v>4</v>
      </c>
      <c r="F82" s="53">
        <v>1</v>
      </c>
      <c r="G82" s="54">
        <v>4</v>
      </c>
      <c r="H82" s="54">
        <v>2</v>
      </c>
      <c r="I82" s="54">
        <v>0</v>
      </c>
      <c r="J82" s="54">
        <v>0</v>
      </c>
      <c r="K82" s="54">
        <v>4</v>
      </c>
      <c r="L82" s="55">
        <v>2</v>
      </c>
      <c r="M82" s="56">
        <v>0</v>
      </c>
      <c r="N82" s="56">
        <v>0</v>
      </c>
      <c r="O82" s="54">
        <v>0</v>
      </c>
      <c r="P82" s="55">
        <v>160</v>
      </c>
    </row>
    <row r="83" spans="2:16" x14ac:dyDescent="0.3">
      <c r="B83" s="51" t="s">
        <v>342</v>
      </c>
      <c r="C83" s="51" t="s">
        <v>14</v>
      </c>
      <c r="D83" s="53" t="s">
        <v>205</v>
      </c>
      <c r="E83" s="53" t="s">
        <v>4</v>
      </c>
      <c r="F83" s="53">
        <v>1</v>
      </c>
      <c r="G83" s="54">
        <v>4</v>
      </c>
      <c r="H83" s="54">
        <v>2</v>
      </c>
      <c r="I83" s="54">
        <v>0</v>
      </c>
      <c r="J83" s="54">
        <v>0</v>
      </c>
      <c r="K83" s="54">
        <v>4</v>
      </c>
      <c r="L83" s="55">
        <v>2</v>
      </c>
      <c r="M83" s="56">
        <v>0</v>
      </c>
      <c r="N83" s="56">
        <v>0</v>
      </c>
      <c r="O83" s="54">
        <v>0</v>
      </c>
      <c r="P83" s="55">
        <v>160</v>
      </c>
    </row>
    <row r="84" spans="2:16" x14ac:dyDescent="0.3">
      <c r="B84" s="51" t="s">
        <v>89</v>
      </c>
      <c r="C84" s="51" t="s">
        <v>7</v>
      </c>
      <c r="D84" s="53" t="s">
        <v>193</v>
      </c>
      <c r="E84" s="53" t="s">
        <v>11</v>
      </c>
      <c r="F84" s="53">
        <v>2</v>
      </c>
      <c r="G84" s="54">
        <v>16</v>
      </c>
      <c r="H84" s="54">
        <v>16</v>
      </c>
      <c r="I84" s="54">
        <v>0</v>
      </c>
      <c r="J84" s="54">
        <v>0</v>
      </c>
      <c r="K84" s="54">
        <v>16</v>
      </c>
      <c r="L84" s="55">
        <v>16</v>
      </c>
      <c r="M84" s="56">
        <v>0</v>
      </c>
      <c r="N84" s="56">
        <v>0</v>
      </c>
      <c r="O84" s="54">
        <v>0</v>
      </c>
      <c r="P84" s="55">
        <v>960</v>
      </c>
    </row>
    <row r="85" spans="2:16" x14ac:dyDescent="0.3">
      <c r="B85" s="51" t="s">
        <v>135</v>
      </c>
      <c r="C85" s="51" t="s">
        <v>7</v>
      </c>
      <c r="D85" s="53" t="s">
        <v>203</v>
      </c>
      <c r="E85" s="53" t="s">
        <v>11</v>
      </c>
      <c r="F85" s="53">
        <v>1</v>
      </c>
      <c r="G85" s="54">
        <v>8</v>
      </c>
      <c r="H85" s="54">
        <v>8</v>
      </c>
      <c r="I85" s="54">
        <v>0</v>
      </c>
      <c r="J85" s="54">
        <v>4</v>
      </c>
      <c r="K85" s="54">
        <v>8</v>
      </c>
      <c r="L85" s="55">
        <v>4</v>
      </c>
      <c r="M85" s="56">
        <v>0</v>
      </c>
      <c r="N85" s="56">
        <v>0.5</v>
      </c>
      <c r="O85" s="54">
        <v>0</v>
      </c>
      <c r="P85" s="55">
        <v>320</v>
      </c>
    </row>
    <row r="86" spans="2:16" x14ac:dyDescent="0.3">
      <c r="B86" s="51" t="s">
        <v>295</v>
      </c>
      <c r="C86" s="51" t="s">
        <v>3</v>
      </c>
      <c r="D86" s="53" t="s">
        <v>178</v>
      </c>
      <c r="E86" s="53" t="s">
        <v>4</v>
      </c>
      <c r="F86" s="53">
        <v>1</v>
      </c>
      <c r="G86" s="54">
        <v>4</v>
      </c>
      <c r="H86" s="54">
        <v>2</v>
      </c>
      <c r="I86" s="54">
        <v>0</v>
      </c>
      <c r="J86" s="59">
        <v>0</v>
      </c>
      <c r="K86" s="54">
        <v>4</v>
      </c>
      <c r="L86" s="55">
        <v>2</v>
      </c>
      <c r="M86" s="56">
        <v>0</v>
      </c>
      <c r="N86" s="56">
        <v>0</v>
      </c>
      <c r="O86" s="54">
        <v>0</v>
      </c>
      <c r="P86" s="55">
        <v>160</v>
      </c>
    </row>
    <row r="87" spans="2:16" x14ac:dyDescent="0.3">
      <c r="B87" s="51" t="s">
        <v>16</v>
      </c>
      <c r="C87" s="51" t="s">
        <v>17</v>
      </c>
      <c r="D87" s="53" t="s">
        <v>219</v>
      </c>
      <c r="E87" s="53" t="s">
        <v>18</v>
      </c>
      <c r="F87" s="53">
        <v>1</v>
      </c>
      <c r="G87" s="54">
        <v>6</v>
      </c>
      <c r="H87" s="54">
        <v>6</v>
      </c>
      <c r="I87" s="54">
        <v>0</v>
      </c>
      <c r="J87" s="54">
        <v>0</v>
      </c>
      <c r="K87" s="54">
        <v>6</v>
      </c>
      <c r="L87" s="55">
        <v>6</v>
      </c>
      <c r="M87" s="56">
        <v>0</v>
      </c>
      <c r="N87" s="56">
        <v>0</v>
      </c>
      <c r="O87" s="54">
        <v>0</v>
      </c>
      <c r="P87" s="55">
        <v>360</v>
      </c>
    </row>
    <row r="88" spans="2:16" x14ac:dyDescent="0.3">
      <c r="B88" s="51" t="s">
        <v>74</v>
      </c>
      <c r="C88" s="51" t="s">
        <v>75</v>
      </c>
      <c r="D88" s="53" t="s">
        <v>181</v>
      </c>
      <c r="E88" s="53" t="s">
        <v>4</v>
      </c>
      <c r="F88" s="53">
        <v>1</v>
      </c>
      <c r="G88" s="54">
        <v>4</v>
      </c>
      <c r="H88" s="54">
        <v>2</v>
      </c>
      <c r="I88" s="54">
        <v>0</v>
      </c>
      <c r="J88" s="54">
        <v>0</v>
      </c>
      <c r="K88" s="54">
        <v>4</v>
      </c>
      <c r="L88" s="55">
        <v>2</v>
      </c>
      <c r="M88" s="56">
        <v>0</v>
      </c>
      <c r="N88" s="56">
        <v>0</v>
      </c>
      <c r="O88" s="54">
        <v>0</v>
      </c>
      <c r="P88" s="55">
        <v>160</v>
      </c>
    </row>
    <row r="89" spans="2:16" x14ac:dyDescent="0.3">
      <c r="B89" s="51" t="s">
        <v>50</v>
      </c>
      <c r="C89" s="51" t="s">
        <v>10</v>
      </c>
      <c r="D89" s="53" t="s">
        <v>185</v>
      </c>
      <c r="E89" s="53" t="s">
        <v>4</v>
      </c>
      <c r="F89" s="53">
        <v>1</v>
      </c>
      <c r="G89" s="54">
        <v>4</v>
      </c>
      <c r="H89" s="54">
        <v>2</v>
      </c>
      <c r="I89" s="54">
        <v>2</v>
      </c>
      <c r="J89" s="54">
        <v>2</v>
      </c>
      <c r="K89" s="54">
        <v>2</v>
      </c>
      <c r="L89" s="55">
        <v>0</v>
      </c>
      <c r="M89" s="56">
        <v>0.5</v>
      </c>
      <c r="N89" s="56">
        <v>1</v>
      </c>
      <c r="O89" s="54">
        <v>16</v>
      </c>
      <c r="P89" s="55">
        <v>40</v>
      </c>
    </row>
    <row r="90" spans="2:16" x14ac:dyDescent="0.3">
      <c r="B90" s="51" t="s">
        <v>169</v>
      </c>
      <c r="C90" s="51" t="s">
        <v>10</v>
      </c>
      <c r="D90" s="53" t="s">
        <v>172</v>
      </c>
      <c r="E90" s="53" t="s">
        <v>4</v>
      </c>
      <c r="F90" s="53">
        <v>1</v>
      </c>
      <c r="G90" s="54">
        <v>4</v>
      </c>
      <c r="H90" s="54">
        <v>2</v>
      </c>
      <c r="I90" s="54">
        <v>0</v>
      </c>
      <c r="J90" s="54">
        <v>0</v>
      </c>
      <c r="K90" s="54">
        <v>4</v>
      </c>
      <c r="L90" s="55">
        <v>2</v>
      </c>
      <c r="M90" s="56">
        <v>0</v>
      </c>
      <c r="N90" s="56">
        <v>0</v>
      </c>
      <c r="O90" s="54">
        <v>0</v>
      </c>
      <c r="P90" s="55">
        <v>160</v>
      </c>
    </row>
    <row r="91" spans="2:16" x14ac:dyDescent="0.3">
      <c r="B91" s="51" t="s">
        <v>198</v>
      </c>
      <c r="C91" s="51" t="s">
        <v>10</v>
      </c>
      <c r="D91" s="53" t="s">
        <v>199</v>
      </c>
      <c r="E91" s="53" t="s">
        <v>4</v>
      </c>
      <c r="F91" s="53">
        <v>1</v>
      </c>
      <c r="G91" s="54">
        <v>4</v>
      </c>
      <c r="H91" s="54">
        <v>2</v>
      </c>
      <c r="I91" s="54">
        <v>1</v>
      </c>
      <c r="J91" s="54">
        <v>0</v>
      </c>
      <c r="K91" s="54">
        <v>3</v>
      </c>
      <c r="L91" s="55">
        <v>2</v>
      </c>
      <c r="M91" s="56">
        <v>0.25</v>
      </c>
      <c r="N91" s="56">
        <v>0</v>
      </c>
      <c r="O91" s="54">
        <v>0</v>
      </c>
      <c r="P91" s="55">
        <v>140</v>
      </c>
    </row>
    <row r="92" spans="2:16" x14ac:dyDescent="0.3">
      <c r="B92" s="51" t="s">
        <v>252</v>
      </c>
      <c r="C92" s="51" t="s">
        <v>46</v>
      </c>
      <c r="D92" s="53" t="s">
        <v>162</v>
      </c>
      <c r="E92" s="53" t="s">
        <v>4</v>
      </c>
      <c r="F92" s="53">
        <v>1</v>
      </c>
      <c r="G92" s="54">
        <v>4</v>
      </c>
      <c r="H92" s="54">
        <v>2</v>
      </c>
      <c r="I92" s="54">
        <v>1</v>
      </c>
      <c r="J92" s="54">
        <v>1</v>
      </c>
      <c r="K92" s="54">
        <v>3</v>
      </c>
      <c r="L92" s="55">
        <v>1</v>
      </c>
      <c r="M92" s="56">
        <v>0.25</v>
      </c>
      <c r="N92" s="56">
        <v>0.5</v>
      </c>
      <c r="O92" s="54">
        <v>60</v>
      </c>
      <c r="P92" s="55">
        <v>100</v>
      </c>
    </row>
    <row r="93" spans="2:16" x14ac:dyDescent="0.3">
      <c r="B93" s="51" t="s">
        <v>24</v>
      </c>
      <c r="C93" s="51" t="s">
        <v>7</v>
      </c>
      <c r="D93" s="53" t="s">
        <v>233</v>
      </c>
      <c r="E93" s="53" t="s">
        <v>11</v>
      </c>
      <c r="F93" s="53">
        <v>4</v>
      </c>
      <c r="G93" s="54">
        <v>32</v>
      </c>
      <c r="H93" s="54">
        <v>32</v>
      </c>
      <c r="I93" s="54">
        <v>32</v>
      </c>
      <c r="J93" s="54">
        <v>31</v>
      </c>
      <c r="K93" s="54">
        <v>0</v>
      </c>
      <c r="L93" s="55">
        <v>1</v>
      </c>
      <c r="M93" s="56">
        <v>1</v>
      </c>
      <c r="N93" s="56">
        <v>0.96875</v>
      </c>
      <c r="O93" s="54">
        <v>1547</v>
      </c>
      <c r="P93" s="55">
        <v>40</v>
      </c>
    </row>
    <row r="94" spans="2:16" x14ac:dyDescent="0.3">
      <c r="B94" s="51" t="s">
        <v>216</v>
      </c>
      <c r="C94" s="51" t="s">
        <v>7</v>
      </c>
      <c r="D94" s="53" t="s">
        <v>217</v>
      </c>
      <c r="E94" s="53" t="s">
        <v>4</v>
      </c>
      <c r="F94" s="53">
        <v>1</v>
      </c>
      <c r="G94" s="54">
        <v>4</v>
      </c>
      <c r="H94" s="54">
        <v>2</v>
      </c>
      <c r="I94" s="54">
        <v>0</v>
      </c>
      <c r="J94" s="54">
        <v>0</v>
      </c>
      <c r="K94" s="54">
        <v>4</v>
      </c>
      <c r="L94" s="55">
        <v>2</v>
      </c>
      <c r="M94" s="56">
        <v>0</v>
      </c>
      <c r="N94" s="56">
        <v>0</v>
      </c>
      <c r="O94" s="54">
        <v>0</v>
      </c>
      <c r="P94" s="55">
        <v>160</v>
      </c>
    </row>
    <row r="95" spans="2:16" x14ac:dyDescent="0.3">
      <c r="B95" s="51" t="s">
        <v>144</v>
      </c>
      <c r="C95" s="51" t="s">
        <v>7</v>
      </c>
      <c r="D95" s="53" t="s">
        <v>211</v>
      </c>
      <c r="E95" s="53" t="s">
        <v>4</v>
      </c>
      <c r="F95" s="53">
        <v>1</v>
      </c>
      <c r="G95" s="54">
        <v>4</v>
      </c>
      <c r="H95" s="54">
        <v>2</v>
      </c>
      <c r="I95" s="54">
        <v>0</v>
      </c>
      <c r="J95" s="54">
        <v>0</v>
      </c>
      <c r="K95" s="54">
        <v>4</v>
      </c>
      <c r="L95" s="55">
        <v>2</v>
      </c>
      <c r="M95" s="56">
        <v>0</v>
      </c>
      <c r="N95" s="56">
        <v>0</v>
      </c>
      <c r="O95" s="54">
        <v>0</v>
      </c>
      <c r="P95" s="55">
        <v>160</v>
      </c>
    </row>
    <row r="96" spans="2:16" x14ac:dyDescent="0.3">
      <c r="B96" s="51" t="s">
        <v>100</v>
      </c>
      <c r="C96" s="51" t="s">
        <v>3</v>
      </c>
      <c r="D96" s="53" t="s">
        <v>213</v>
      </c>
      <c r="E96" s="53" t="s">
        <v>18</v>
      </c>
      <c r="F96" s="53">
        <v>1</v>
      </c>
      <c r="G96" s="54">
        <v>6</v>
      </c>
      <c r="H96" s="54">
        <v>6</v>
      </c>
      <c r="I96" s="54">
        <v>2</v>
      </c>
      <c r="J96" s="54">
        <v>2</v>
      </c>
      <c r="K96" s="54">
        <v>4</v>
      </c>
      <c r="L96" s="55">
        <v>4</v>
      </c>
      <c r="M96" s="56">
        <v>0.33333333333333331</v>
      </c>
      <c r="N96" s="56">
        <v>0.33333333333333331</v>
      </c>
      <c r="O96" s="54">
        <v>120</v>
      </c>
      <c r="P96" s="55">
        <v>240</v>
      </c>
    </row>
    <row r="97" spans="2:16" x14ac:dyDescent="0.3">
      <c r="B97" s="51" t="s">
        <v>58</v>
      </c>
      <c r="C97" s="51" t="s">
        <v>7</v>
      </c>
      <c r="D97" s="53" t="s">
        <v>237</v>
      </c>
      <c r="E97" s="53" t="s">
        <v>18</v>
      </c>
      <c r="F97" s="53">
        <v>1</v>
      </c>
      <c r="G97" s="54">
        <v>6</v>
      </c>
      <c r="H97" s="54">
        <v>6</v>
      </c>
      <c r="I97" s="54">
        <v>0</v>
      </c>
      <c r="J97" s="54">
        <v>3</v>
      </c>
      <c r="K97" s="54">
        <v>6</v>
      </c>
      <c r="L97" s="55">
        <v>3</v>
      </c>
      <c r="M97" s="56">
        <v>0</v>
      </c>
      <c r="N97" s="56">
        <v>0.5</v>
      </c>
      <c r="O97" s="54">
        <v>120</v>
      </c>
      <c r="P97" s="55">
        <v>240</v>
      </c>
    </row>
    <row r="98" spans="2:16" x14ac:dyDescent="0.3">
      <c r="B98" s="51" t="s">
        <v>422</v>
      </c>
      <c r="C98" s="51" t="s">
        <v>7</v>
      </c>
      <c r="D98" s="53" t="s">
        <v>471</v>
      </c>
      <c r="E98" s="53" t="s">
        <v>11</v>
      </c>
      <c r="F98" s="53">
        <v>1</v>
      </c>
      <c r="G98" s="54">
        <v>8</v>
      </c>
      <c r="H98" s="54">
        <v>8</v>
      </c>
      <c r="I98" s="54">
        <v>0</v>
      </c>
      <c r="J98" s="54">
        <v>0</v>
      </c>
      <c r="K98" s="54">
        <v>8</v>
      </c>
      <c r="L98" s="55">
        <v>8</v>
      </c>
      <c r="M98" s="56">
        <v>0</v>
      </c>
      <c r="N98" s="56">
        <v>0</v>
      </c>
      <c r="O98" s="54">
        <v>0</v>
      </c>
      <c r="P98" s="55">
        <v>480</v>
      </c>
    </row>
    <row r="99" spans="2:16" x14ac:dyDescent="0.3">
      <c r="B99" s="51" t="s">
        <v>48</v>
      </c>
      <c r="C99" s="51" t="s">
        <v>46</v>
      </c>
      <c r="D99" s="53" t="s">
        <v>168</v>
      </c>
      <c r="E99" s="53" t="s">
        <v>4</v>
      </c>
      <c r="F99" s="53">
        <v>1</v>
      </c>
      <c r="G99" s="54">
        <v>4</v>
      </c>
      <c r="H99" s="54">
        <v>2</v>
      </c>
      <c r="I99" s="54">
        <v>1</v>
      </c>
      <c r="J99" s="54">
        <v>1</v>
      </c>
      <c r="K99" s="54">
        <v>3</v>
      </c>
      <c r="L99" s="55">
        <v>1</v>
      </c>
      <c r="M99" s="56">
        <v>0.25</v>
      </c>
      <c r="N99" s="56">
        <v>0.5</v>
      </c>
      <c r="O99" s="54">
        <v>0</v>
      </c>
      <c r="P99" s="55">
        <v>100</v>
      </c>
    </row>
    <row r="100" spans="2:16" x14ac:dyDescent="0.3">
      <c r="B100" s="51" t="s">
        <v>273</v>
      </c>
      <c r="C100" s="51" t="s">
        <v>46</v>
      </c>
      <c r="D100" s="53" t="s">
        <v>154</v>
      </c>
      <c r="E100" s="53" t="s">
        <v>18</v>
      </c>
      <c r="F100" s="53">
        <v>1</v>
      </c>
      <c r="G100" s="54">
        <v>6</v>
      </c>
      <c r="H100" s="54">
        <v>6</v>
      </c>
      <c r="I100" s="54">
        <v>0</v>
      </c>
      <c r="J100" s="54">
        <v>0</v>
      </c>
      <c r="K100" s="54">
        <v>6</v>
      </c>
      <c r="L100" s="55">
        <v>6</v>
      </c>
      <c r="M100" s="56">
        <v>0</v>
      </c>
      <c r="N100" s="56">
        <v>0</v>
      </c>
      <c r="O100" s="54">
        <v>0</v>
      </c>
      <c r="P100" s="55">
        <v>360</v>
      </c>
    </row>
    <row r="101" spans="2:16" x14ac:dyDescent="0.3">
      <c r="B101" s="51" t="s">
        <v>81</v>
      </c>
      <c r="C101" s="51" t="s">
        <v>46</v>
      </c>
      <c r="D101" s="53" t="s">
        <v>191</v>
      </c>
      <c r="E101" s="53" t="s">
        <v>4</v>
      </c>
      <c r="F101" s="53">
        <v>1</v>
      </c>
      <c r="G101" s="54">
        <v>4</v>
      </c>
      <c r="H101" s="54">
        <v>2</v>
      </c>
      <c r="I101" s="54">
        <v>0</v>
      </c>
      <c r="J101" s="54">
        <v>0</v>
      </c>
      <c r="K101" s="54">
        <v>4</v>
      </c>
      <c r="L101" s="55">
        <v>2</v>
      </c>
      <c r="M101" s="56">
        <v>0</v>
      </c>
      <c r="N101" s="56">
        <v>0</v>
      </c>
      <c r="O101" s="54">
        <v>0</v>
      </c>
      <c r="P101" s="55">
        <v>160</v>
      </c>
    </row>
    <row r="102" spans="2:16" x14ac:dyDescent="0.3">
      <c r="B102" s="51" t="s">
        <v>267</v>
      </c>
      <c r="C102" s="51" t="s">
        <v>46</v>
      </c>
      <c r="D102" s="53" t="s">
        <v>160</v>
      </c>
      <c r="E102" s="53" t="s">
        <v>18</v>
      </c>
      <c r="F102" s="53">
        <v>1</v>
      </c>
      <c r="G102" s="54">
        <v>6</v>
      </c>
      <c r="H102" s="54">
        <v>6</v>
      </c>
      <c r="I102" s="54">
        <v>2</v>
      </c>
      <c r="J102" s="54">
        <v>0</v>
      </c>
      <c r="K102" s="54">
        <v>4</v>
      </c>
      <c r="L102" s="55">
        <v>6</v>
      </c>
      <c r="M102" s="56">
        <v>0.33333333333333331</v>
      </c>
      <c r="N102" s="56">
        <v>0</v>
      </c>
      <c r="O102" s="54">
        <v>0</v>
      </c>
      <c r="P102" s="55">
        <v>320</v>
      </c>
    </row>
    <row r="103" spans="2:16" x14ac:dyDescent="0.3">
      <c r="B103" s="51" t="s">
        <v>367</v>
      </c>
      <c r="C103" s="51" t="s">
        <v>46</v>
      </c>
      <c r="D103" s="53" t="s">
        <v>472</v>
      </c>
      <c r="E103" s="53" t="s">
        <v>4</v>
      </c>
      <c r="F103" s="53">
        <v>1</v>
      </c>
      <c r="G103" s="54">
        <v>4</v>
      </c>
      <c r="H103" s="54">
        <v>2</v>
      </c>
      <c r="I103" s="54">
        <v>0</v>
      </c>
      <c r="J103" s="54">
        <v>1</v>
      </c>
      <c r="K103" s="54">
        <v>4</v>
      </c>
      <c r="L103" s="55">
        <v>1</v>
      </c>
      <c r="M103" s="56">
        <v>0</v>
      </c>
      <c r="N103" s="56">
        <v>0.5</v>
      </c>
      <c r="O103" s="54">
        <v>0</v>
      </c>
      <c r="P103" s="55">
        <v>120</v>
      </c>
    </row>
    <row r="104" spans="2:16" x14ac:dyDescent="0.3">
      <c r="B104" s="51" t="s">
        <v>119</v>
      </c>
      <c r="C104" s="51" t="s">
        <v>3</v>
      </c>
      <c r="D104" s="53" t="s">
        <v>235</v>
      </c>
      <c r="E104" s="53" t="s">
        <v>11</v>
      </c>
      <c r="F104" s="53">
        <v>2</v>
      </c>
      <c r="G104" s="54">
        <v>16</v>
      </c>
      <c r="H104" s="54">
        <v>16</v>
      </c>
      <c r="I104" s="54">
        <v>5</v>
      </c>
      <c r="J104" s="54">
        <v>4</v>
      </c>
      <c r="K104" s="54">
        <v>11</v>
      </c>
      <c r="L104" s="55">
        <v>12</v>
      </c>
      <c r="M104" s="56">
        <v>0.3125</v>
      </c>
      <c r="N104" s="56">
        <v>0.25</v>
      </c>
      <c r="O104" s="54">
        <v>55</v>
      </c>
      <c r="P104" s="55">
        <v>700</v>
      </c>
    </row>
    <row r="105" spans="2:16" x14ac:dyDescent="0.3">
      <c r="B105" s="51" t="s">
        <v>45</v>
      </c>
      <c r="C105" s="51" t="s">
        <v>46</v>
      </c>
      <c r="D105" s="53" t="s">
        <v>158</v>
      </c>
      <c r="E105" s="53" t="s">
        <v>4</v>
      </c>
      <c r="F105" s="53">
        <v>1</v>
      </c>
      <c r="G105" s="54">
        <v>4</v>
      </c>
      <c r="H105" s="54">
        <v>2</v>
      </c>
      <c r="I105" s="54">
        <v>2</v>
      </c>
      <c r="J105" s="54">
        <v>2</v>
      </c>
      <c r="K105" s="54">
        <v>2</v>
      </c>
      <c r="L105" s="55">
        <v>0</v>
      </c>
      <c r="M105" s="56">
        <v>0.5</v>
      </c>
      <c r="N105" s="56">
        <v>1</v>
      </c>
      <c r="O105" s="54">
        <v>0</v>
      </c>
      <c r="P105" s="55">
        <v>40</v>
      </c>
    </row>
    <row r="106" spans="2:16" x14ac:dyDescent="0.3">
      <c r="B106" s="51" t="s">
        <v>401</v>
      </c>
      <c r="C106" s="51" t="s">
        <v>46</v>
      </c>
      <c r="D106" s="53" t="s">
        <v>473</v>
      </c>
      <c r="E106" s="53" t="s">
        <v>18</v>
      </c>
      <c r="F106" s="53">
        <v>1</v>
      </c>
      <c r="G106" s="54">
        <v>6</v>
      </c>
      <c r="H106" s="54">
        <v>6</v>
      </c>
      <c r="I106" s="54">
        <v>0</v>
      </c>
      <c r="J106" s="54">
        <v>0</v>
      </c>
      <c r="K106" s="54">
        <v>6</v>
      </c>
      <c r="L106" s="55">
        <v>6</v>
      </c>
      <c r="M106" s="56">
        <v>0</v>
      </c>
      <c r="N106" s="56">
        <v>0</v>
      </c>
      <c r="O106" s="54">
        <v>0</v>
      </c>
      <c r="P106" s="55">
        <v>360</v>
      </c>
    </row>
    <row r="107" spans="2:16" x14ac:dyDescent="0.3">
      <c r="B107" s="51" t="s">
        <v>26</v>
      </c>
      <c r="C107" s="51" t="s">
        <v>17</v>
      </c>
      <c r="D107" s="53" t="s">
        <v>156</v>
      </c>
      <c r="E107" s="53" t="s">
        <v>4</v>
      </c>
      <c r="F107" s="53">
        <v>2</v>
      </c>
      <c r="G107" s="54">
        <v>8</v>
      </c>
      <c r="H107" s="54">
        <v>4</v>
      </c>
      <c r="I107" s="54">
        <v>2</v>
      </c>
      <c r="J107" s="54">
        <v>0</v>
      </c>
      <c r="K107" s="54">
        <v>6</v>
      </c>
      <c r="L107" s="55">
        <v>4</v>
      </c>
      <c r="M107" s="56">
        <v>0.25</v>
      </c>
      <c r="N107" s="56">
        <v>0</v>
      </c>
      <c r="O107" s="54">
        <v>0</v>
      </c>
      <c r="P107" s="55">
        <v>280</v>
      </c>
    </row>
    <row r="108" spans="2:16" x14ac:dyDescent="0.3">
      <c r="B108" s="51" t="s">
        <v>167</v>
      </c>
      <c r="C108" s="51" t="s">
        <v>17</v>
      </c>
      <c r="D108" s="53" t="s">
        <v>187</v>
      </c>
      <c r="E108" s="53" t="s">
        <v>4</v>
      </c>
      <c r="F108" s="53">
        <v>1</v>
      </c>
      <c r="G108" s="54">
        <v>4</v>
      </c>
      <c r="H108" s="54">
        <v>2</v>
      </c>
      <c r="I108" s="54">
        <v>2</v>
      </c>
      <c r="J108" s="54">
        <v>0</v>
      </c>
      <c r="K108" s="54">
        <v>2</v>
      </c>
      <c r="L108" s="55">
        <v>2</v>
      </c>
      <c r="M108" s="56">
        <v>0.5</v>
      </c>
      <c r="N108" s="56">
        <v>0</v>
      </c>
      <c r="O108" s="54">
        <v>0</v>
      </c>
      <c r="P108" s="55">
        <v>120</v>
      </c>
    </row>
    <row r="109" spans="2:16" x14ac:dyDescent="0.3">
      <c r="B109" s="51" t="s">
        <v>109</v>
      </c>
      <c r="C109" s="51" t="s">
        <v>14</v>
      </c>
      <c r="D109" s="53" t="s">
        <v>201</v>
      </c>
      <c r="E109" s="53" t="s">
        <v>4</v>
      </c>
      <c r="F109" s="53">
        <v>2</v>
      </c>
      <c r="G109" s="54">
        <v>8</v>
      </c>
      <c r="H109" s="54">
        <v>4</v>
      </c>
      <c r="I109" s="54">
        <v>0</v>
      </c>
      <c r="J109" s="54">
        <v>0</v>
      </c>
      <c r="K109" s="54">
        <v>8</v>
      </c>
      <c r="L109" s="55">
        <v>4</v>
      </c>
      <c r="M109" s="56">
        <v>0</v>
      </c>
      <c r="N109" s="56">
        <v>0</v>
      </c>
      <c r="O109" s="54">
        <v>0</v>
      </c>
      <c r="P109" s="55">
        <v>320</v>
      </c>
    </row>
    <row r="110" spans="2:16" x14ac:dyDescent="0.3">
      <c r="B110" s="51" t="s">
        <v>125</v>
      </c>
      <c r="C110" s="51" t="s">
        <v>14</v>
      </c>
      <c r="D110" s="53" t="s">
        <v>207</v>
      </c>
      <c r="E110" s="53" t="s">
        <v>18</v>
      </c>
      <c r="F110" s="53">
        <v>2</v>
      </c>
      <c r="G110" s="54">
        <v>12</v>
      </c>
      <c r="H110" s="54">
        <v>12</v>
      </c>
      <c r="I110" s="54">
        <v>0</v>
      </c>
      <c r="J110" s="54">
        <v>0</v>
      </c>
      <c r="K110" s="54">
        <v>12</v>
      </c>
      <c r="L110" s="55">
        <v>12</v>
      </c>
      <c r="M110" s="56">
        <v>0</v>
      </c>
      <c r="N110" s="56">
        <v>0</v>
      </c>
      <c r="O110" s="54">
        <v>0</v>
      </c>
      <c r="P110" s="55">
        <v>720</v>
      </c>
    </row>
    <row r="111" spans="2:16" x14ac:dyDescent="0.3">
      <c r="B111" s="51" t="s">
        <v>64</v>
      </c>
      <c r="C111" s="51" t="s">
        <v>14</v>
      </c>
      <c r="D111" s="53" t="s">
        <v>174</v>
      </c>
      <c r="E111" s="53" t="s">
        <v>4</v>
      </c>
      <c r="F111" s="53">
        <v>1</v>
      </c>
      <c r="G111" s="54">
        <v>4</v>
      </c>
      <c r="H111" s="54">
        <v>2</v>
      </c>
      <c r="I111" s="54">
        <v>2</v>
      </c>
      <c r="J111" s="54">
        <v>2</v>
      </c>
      <c r="K111" s="54">
        <v>2</v>
      </c>
      <c r="L111" s="55">
        <v>0</v>
      </c>
      <c r="M111" s="56">
        <v>0.5</v>
      </c>
      <c r="N111" s="56">
        <v>1</v>
      </c>
      <c r="O111" s="54">
        <v>0</v>
      </c>
      <c r="P111" s="55">
        <v>40</v>
      </c>
    </row>
    <row r="112" spans="2:16" x14ac:dyDescent="0.3">
      <c r="B112" s="51" t="s">
        <v>365</v>
      </c>
      <c r="C112" s="51" t="s">
        <v>14</v>
      </c>
      <c r="D112" s="53" t="s">
        <v>227</v>
      </c>
      <c r="E112" s="53" t="s">
        <v>4</v>
      </c>
      <c r="F112" s="53">
        <v>2</v>
      </c>
      <c r="G112" s="54">
        <v>8</v>
      </c>
      <c r="H112" s="54">
        <v>4</v>
      </c>
      <c r="I112" s="54">
        <v>2</v>
      </c>
      <c r="J112" s="54">
        <v>2</v>
      </c>
      <c r="K112" s="54">
        <v>6</v>
      </c>
      <c r="L112" s="55">
        <v>2</v>
      </c>
      <c r="M112" s="56">
        <v>0.25</v>
      </c>
      <c r="N112" s="56">
        <v>0.5</v>
      </c>
      <c r="O112" s="54">
        <v>120</v>
      </c>
      <c r="P112" s="55">
        <v>200</v>
      </c>
    </row>
    <row r="113" spans="2:16" x14ac:dyDescent="0.3">
      <c r="B113" s="51" t="s">
        <v>212</v>
      </c>
      <c r="C113" s="51" t="s">
        <v>14</v>
      </c>
      <c r="D113" s="53" t="s">
        <v>236</v>
      </c>
      <c r="E113" s="53" t="s">
        <v>4</v>
      </c>
      <c r="F113" s="53">
        <v>1</v>
      </c>
      <c r="G113" s="54">
        <v>4</v>
      </c>
      <c r="H113" s="54">
        <v>2</v>
      </c>
      <c r="I113" s="54">
        <v>0</v>
      </c>
      <c r="J113" s="54">
        <v>0</v>
      </c>
      <c r="K113" s="54">
        <v>4</v>
      </c>
      <c r="L113" s="55">
        <v>2</v>
      </c>
      <c r="M113" s="56">
        <v>0</v>
      </c>
      <c r="N113" s="56">
        <v>0</v>
      </c>
      <c r="O113" s="54">
        <v>0</v>
      </c>
      <c r="P113" s="55">
        <v>160</v>
      </c>
    </row>
    <row r="114" spans="2:16" x14ac:dyDescent="0.3">
      <c r="B114" s="51" t="s">
        <v>352</v>
      </c>
      <c r="C114" s="51" t="s">
        <v>10</v>
      </c>
      <c r="D114" s="53" t="s">
        <v>183</v>
      </c>
      <c r="E114" s="53" t="s">
        <v>4</v>
      </c>
      <c r="F114" s="53">
        <v>1</v>
      </c>
      <c r="G114" s="54">
        <v>4</v>
      </c>
      <c r="H114" s="54">
        <v>2</v>
      </c>
      <c r="I114" s="54">
        <v>1</v>
      </c>
      <c r="J114" s="54">
        <v>0</v>
      </c>
      <c r="K114" s="54">
        <v>3</v>
      </c>
      <c r="L114" s="55">
        <v>2</v>
      </c>
      <c r="M114" s="56">
        <v>0.25</v>
      </c>
      <c r="N114" s="56">
        <v>0</v>
      </c>
      <c r="O114" s="54">
        <v>0</v>
      </c>
      <c r="P114" s="55">
        <v>140</v>
      </c>
    </row>
    <row r="115" spans="2:16" x14ac:dyDescent="0.3">
      <c r="B115" s="51" t="s">
        <v>196</v>
      </c>
      <c r="C115" s="51" t="s">
        <v>7</v>
      </c>
      <c r="D115" s="53" t="s">
        <v>189</v>
      </c>
      <c r="E115" s="53" t="s">
        <v>11</v>
      </c>
      <c r="F115" s="53">
        <v>3</v>
      </c>
      <c r="G115" s="54">
        <v>24</v>
      </c>
      <c r="H115" s="54">
        <v>24</v>
      </c>
      <c r="I115" s="54">
        <v>13</v>
      </c>
      <c r="J115" s="54">
        <v>13</v>
      </c>
      <c r="K115" s="54">
        <v>11</v>
      </c>
      <c r="L115" s="55">
        <v>11</v>
      </c>
      <c r="M115" s="56">
        <v>0.54166666666666663</v>
      </c>
      <c r="N115" s="56">
        <v>0.54166666666666663</v>
      </c>
      <c r="O115" s="54">
        <v>600</v>
      </c>
      <c r="P115" s="55">
        <v>660</v>
      </c>
    </row>
    <row r="116" spans="2:16" x14ac:dyDescent="0.3">
      <c r="B116" s="51" t="s">
        <v>412</v>
      </c>
      <c r="C116" s="51" t="s">
        <v>39</v>
      </c>
      <c r="D116" s="53" t="s">
        <v>474</v>
      </c>
      <c r="E116" s="53" t="s">
        <v>18</v>
      </c>
      <c r="F116" s="53">
        <v>1</v>
      </c>
      <c r="G116" s="54">
        <v>6</v>
      </c>
      <c r="H116" s="54">
        <v>6</v>
      </c>
      <c r="I116" s="54">
        <v>0</v>
      </c>
      <c r="J116" s="54">
        <v>0</v>
      </c>
      <c r="K116" s="54">
        <v>6</v>
      </c>
      <c r="L116" s="55">
        <v>6</v>
      </c>
      <c r="M116" s="56">
        <v>0</v>
      </c>
      <c r="N116" s="56">
        <v>0</v>
      </c>
      <c r="O116" s="54">
        <v>0</v>
      </c>
      <c r="P116" s="55">
        <v>360</v>
      </c>
    </row>
    <row r="117" spans="2:16" x14ac:dyDescent="0.3">
      <c r="B117" s="51" t="s">
        <v>141</v>
      </c>
      <c r="C117" s="51" t="s">
        <v>142</v>
      </c>
      <c r="D117" s="53" t="s">
        <v>225</v>
      </c>
      <c r="E117" s="53" t="s">
        <v>4</v>
      </c>
      <c r="F117" s="53">
        <v>1</v>
      </c>
      <c r="G117" s="54">
        <v>4</v>
      </c>
      <c r="H117" s="54">
        <v>2</v>
      </c>
      <c r="I117" s="54">
        <v>0</v>
      </c>
      <c r="J117" s="54">
        <v>0</v>
      </c>
      <c r="K117" s="54">
        <v>4</v>
      </c>
      <c r="L117" s="55">
        <v>2</v>
      </c>
      <c r="M117" s="56">
        <v>0</v>
      </c>
      <c r="N117" s="56">
        <v>0</v>
      </c>
      <c r="O117" s="54">
        <v>0</v>
      </c>
      <c r="P117" s="55">
        <v>160</v>
      </c>
    </row>
    <row r="118" spans="2:16" x14ac:dyDescent="0.3">
      <c r="B118" s="51" t="s">
        <v>214</v>
      </c>
      <c r="C118" s="51" t="s">
        <v>14</v>
      </c>
      <c r="D118" s="53" t="s">
        <v>197</v>
      </c>
      <c r="E118" s="53" t="s">
        <v>4</v>
      </c>
      <c r="F118" s="53">
        <v>1</v>
      </c>
      <c r="G118" s="54">
        <v>4</v>
      </c>
      <c r="H118" s="54">
        <v>2</v>
      </c>
      <c r="I118" s="54">
        <v>0</v>
      </c>
      <c r="J118" s="54">
        <v>0</v>
      </c>
      <c r="K118" s="54">
        <v>4</v>
      </c>
      <c r="L118" s="55">
        <v>2</v>
      </c>
      <c r="M118" s="56">
        <v>0</v>
      </c>
      <c r="N118" s="56">
        <v>0</v>
      </c>
      <c r="O118" s="54">
        <v>0</v>
      </c>
      <c r="P118" s="55">
        <v>160</v>
      </c>
    </row>
    <row r="119" spans="2:16" x14ac:dyDescent="0.3">
      <c r="B119" s="51" t="s">
        <v>421</v>
      </c>
      <c r="C119" s="51" t="s">
        <v>14</v>
      </c>
      <c r="D119" s="53" t="s">
        <v>475</v>
      </c>
      <c r="E119" s="53" t="s">
        <v>4</v>
      </c>
      <c r="F119" s="53">
        <v>1</v>
      </c>
      <c r="G119" s="54">
        <v>4</v>
      </c>
      <c r="H119" s="54">
        <v>2</v>
      </c>
      <c r="I119" s="54">
        <v>0</v>
      </c>
      <c r="J119" s="54">
        <v>0</v>
      </c>
      <c r="K119" s="54">
        <v>4</v>
      </c>
      <c r="L119" s="55">
        <v>2</v>
      </c>
      <c r="M119" s="56">
        <v>0</v>
      </c>
      <c r="N119" s="56">
        <v>0</v>
      </c>
      <c r="O119" s="54">
        <v>0</v>
      </c>
      <c r="P119" s="55">
        <v>160</v>
      </c>
    </row>
    <row r="120" spans="2:16" x14ac:dyDescent="0.3">
      <c r="B120" s="51" t="s">
        <v>271</v>
      </c>
      <c r="C120" s="51" t="s">
        <v>3</v>
      </c>
      <c r="D120" s="53" t="s">
        <v>195</v>
      </c>
      <c r="E120" s="53" t="s">
        <v>4</v>
      </c>
      <c r="F120" s="53">
        <v>1</v>
      </c>
      <c r="G120" s="54">
        <v>4</v>
      </c>
      <c r="H120" s="54">
        <v>2</v>
      </c>
      <c r="I120" s="54">
        <v>0</v>
      </c>
      <c r="J120" s="54">
        <v>0</v>
      </c>
      <c r="K120" s="54">
        <v>4</v>
      </c>
      <c r="L120" s="55">
        <v>2</v>
      </c>
      <c r="M120" s="56">
        <v>0</v>
      </c>
      <c r="N120" s="56">
        <v>0</v>
      </c>
      <c r="O120" s="54">
        <v>0</v>
      </c>
      <c r="P120" s="55">
        <v>160</v>
      </c>
    </row>
    <row r="121" spans="2:16" x14ac:dyDescent="0.3">
      <c r="B121" s="51" t="s">
        <v>149</v>
      </c>
      <c r="C121" s="51" t="s">
        <v>10</v>
      </c>
      <c r="D121" s="53" t="s">
        <v>176</v>
      </c>
      <c r="E121" s="53" t="s">
        <v>4</v>
      </c>
      <c r="F121" s="53">
        <v>1</v>
      </c>
      <c r="G121" s="54">
        <v>4</v>
      </c>
      <c r="H121" s="54">
        <v>2</v>
      </c>
      <c r="I121" s="54">
        <v>0</v>
      </c>
      <c r="J121" s="54">
        <v>0</v>
      </c>
      <c r="K121" s="54">
        <v>4</v>
      </c>
      <c r="L121" s="55">
        <v>2</v>
      </c>
      <c r="M121" s="56">
        <v>0</v>
      </c>
      <c r="N121" s="56">
        <v>0</v>
      </c>
      <c r="O121" s="54">
        <v>0</v>
      </c>
      <c r="P121" s="55">
        <v>160</v>
      </c>
    </row>
    <row r="122" spans="2:16" x14ac:dyDescent="0.3">
      <c r="B122" s="51" t="s">
        <v>202</v>
      </c>
      <c r="C122" s="51" t="s">
        <v>7</v>
      </c>
      <c r="D122" s="53" t="s">
        <v>215</v>
      </c>
      <c r="E122" s="53" t="s">
        <v>4</v>
      </c>
      <c r="F122" s="53">
        <v>1</v>
      </c>
      <c r="G122" s="54">
        <v>4</v>
      </c>
      <c r="H122" s="54">
        <v>2</v>
      </c>
      <c r="I122" s="54">
        <v>0</v>
      </c>
      <c r="J122" s="54">
        <v>0</v>
      </c>
      <c r="K122" s="54">
        <v>4</v>
      </c>
      <c r="L122" s="55">
        <v>2</v>
      </c>
      <c r="M122" s="56">
        <v>0</v>
      </c>
      <c r="N122" s="56">
        <v>0</v>
      </c>
      <c r="O122" s="54">
        <v>0</v>
      </c>
      <c r="P122" s="55">
        <v>160</v>
      </c>
    </row>
    <row r="123" spans="2:16" x14ac:dyDescent="0.3">
      <c r="B123" s="51" t="s">
        <v>32</v>
      </c>
      <c r="C123" s="51" t="s">
        <v>14</v>
      </c>
      <c r="D123" s="53" t="s">
        <v>221</v>
      </c>
      <c r="E123" s="53" t="s">
        <v>4</v>
      </c>
      <c r="F123" s="53">
        <v>2</v>
      </c>
      <c r="G123" s="54">
        <v>8</v>
      </c>
      <c r="H123" s="54">
        <v>4</v>
      </c>
      <c r="I123" s="54">
        <v>0</v>
      </c>
      <c r="J123" s="54">
        <v>0</v>
      </c>
      <c r="K123" s="54">
        <v>8</v>
      </c>
      <c r="L123" s="55">
        <v>4</v>
      </c>
      <c r="M123" s="56">
        <v>0</v>
      </c>
      <c r="N123" s="56">
        <v>0</v>
      </c>
      <c r="O123" s="54">
        <v>0</v>
      </c>
      <c r="P123" s="55">
        <v>320</v>
      </c>
    </row>
    <row r="124" spans="2:16" x14ac:dyDescent="0.3">
      <c r="B124" s="51" t="s">
        <v>409</v>
      </c>
      <c r="C124" s="51" t="s">
        <v>39</v>
      </c>
      <c r="D124" s="53" t="s">
        <v>476</v>
      </c>
      <c r="E124" s="53" t="s">
        <v>4</v>
      </c>
      <c r="F124" s="53">
        <v>1</v>
      </c>
      <c r="G124" s="54">
        <v>4</v>
      </c>
      <c r="H124" s="54">
        <v>2</v>
      </c>
      <c r="I124" s="54">
        <v>0</v>
      </c>
      <c r="J124" s="54">
        <v>0</v>
      </c>
      <c r="K124" s="54">
        <v>4</v>
      </c>
      <c r="L124" s="55">
        <v>2</v>
      </c>
      <c r="M124" s="56">
        <v>0</v>
      </c>
      <c r="N124" s="56">
        <v>0</v>
      </c>
      <c r="O124" s="54">
        <v>0</v>
      </c>
      <c r="P124" s="55">
        <v>160</v>
      </c>
    </row>
    <row r="125" spans="2:16" x14ac:dyDescent="0.3">
      <c r="B125" s="51" t="s">
        <v>326</v>
      </c>
      <c r="C125" s="51" t="s">
        <v>180</v>
      </c>
      <c r="D125" s="53" t="s">
        <v>231</v>
      </c>
      <c r="E125" s="53" t="s">
        <v>4</v>
      </c>
      <c r="F125" s="53">
        <v>1</v>
      </c>
      <c r="G125" s="54">
        <v>4</v>
      </c>
      <c r="H125" s="54">
        <v>2</v>
      </c>
      <c r="I125" s="54">
        <v>0</v>
      </c>
      <c r="J125" s="54">
        <v>0</v>
      </c>
      <c r="K125" s="54">
        <v>4</v>
      </c>
      <c r="L125" s="55">
        <v>2</v>
      </c>
      <c r="M125" s="56">
        <v>0</v>
      </c>
      <c r="N125" s="56">
        <v>0</v>
      </c>
      <c r="O125" s="54">
        <v>0</v>
      </c>
      <c r="P125" s="55">
        <v>160</v>
      </c>
    </row>
    <row r="126" spans="2:16" x14ac:dyDescent="0.3">
      <c r="B126" s="51" t="s">
        <v>208</v>
      </c>
      <c r="C126" s="51" t="s">
        <v>7</v>
      </c>
      <c r="D126" s="53" t="s">
        <v>166</v>
      </c>
      <c r="E126" s="53" t="s">
        <v>4</v>
      </c>
      <c r="F126" s="53">
        <v>1</v>
      </c>
      <c r="G126" s="54">
        <v>4</v>
      </c>
      <c r="H126" s="54">
        <v>2</v>
      </c>
      <c r="I126" s="54">
        <v>3</v>
      </c>
      <c r="J126" s="54">
        <v>0</v>
      </c>
      <c r="K126" s="54">
        <v>1</v>
      </c>
      <c r="L126" s="55">
        <v>2</v>
      </c>
      <c r="M126" s="56">
        <v>0.75</v>
      </c>
      <c r="N126" s="56">
        <v>0</v>
      </c>
      <c r="O126" s="54">
        <v>0</v>
      </c>
      <c r="P126" s="55">
        <v>100</v>
      </c>
    </row>
    <row r="127" spans="2:16" x14ac:dyDescent="0.3">
      <c r="B127" s="51" t="s">
        <v>413</v>
      </c>
      <c r="C127" s="51" t="s">
        <v>3</v>
      </c>
      <c r="D127" s="53" t="s">
        <v>477</v>
      </c>
      <c r="E127" s="53" t="s">
        <v>11</v>
      </c>
      <c r="F127" s="53">
        <v>1</v>
      </c>
      <c r="G127" s="54">
        <v>8</v>
      </c>
      <c r="H127" s="54">
        <v>8</v>
      </c>
      <c r="I127" s="54">
        <v>0</v>
      </c>
      <c r="J127" s="54">
        <v>0</v>
      </c>
      <c r="K127" s="54">
        <v>8</v>
      </c>
      <c r="L127" s="55">
        <v>8</v>
      </c>
      <c r="M127" s="56">
        <v>0</v>
      </c>
      <c r="N127" s="56">
        <v>0</v>
      </c>
      <c r="O127" s="54">
        <v>0</v>
      </c>
      <c r="P127" s="55">
        <v>480</v>
      </c>
    </row>
    <row r="128" spans="2:16" x14ac:dyDescent="0.3">
      <c r="B128" s="51" t="s">
        <v>182</v>
      </c>
      <c r="C128" s="51" t="s">
        <v>3</v>
      </c>
      <c r="D128" s="53" t="s">
        <v>223</v>
      </c>
      <c r="E128" s="53" t="s">
        <v>11</v>
      </c>
      <c r="F128" s="53">
        <v>2</v>
      </c>
      <c r="G128" s="54">
        <v>16</v>
      </c>
      <c r="H128" s="54">
        <v>16</v>
      </c>
      <c r="I128" s="54">
        <v>0</v>
      </c>
      <c r="J128" s="54">
        <v>0</v>
      </c>
      <c r="K128" s="54">
        <v>16</v>
      </c>
      <c r="L128" s="55">
        <v>16</v>
      </c>
      <c r="M128" s="56">
        <v>0</v>
      </c>
      <c r="N128" s="56">
        <v>0</v>
      </c>
      <c r="O128" s="54">
        <v>0</v>
      </c>
      <c r="P128" s="55">
        <v>960</v>
      </c>
    </row>
    <row r="129" spans="2:16" x14ac:dyDescent="0.3">
      <c r="B129" s="51" t="s">
        <v>60</v>
      </c>
      <c r="C129" s="51" t="s">
        <v>3</v>
      </c>
      <c r="D129" s="53" t="s">
        <v>276</v>
      </c>
      <c r="E129" s="53" t="s">
        <v>18</v>
      </c>
      <c r="F129" s="53">
        <v>1</v>
      </c>
      <c r="G129" s="54">
        <v>6</v>
      </c>
      <c r="H129" s="54">
        <v>6</v>
      </c>
      <c r="I129" s="54">
        <v>0</v>
      </c>
      <c r="J129" s="54">
        <v>0</v>
      </c>
      <c r="K129" s="54">
        <v>6</v>
      </c>
      <c r="L129" s="55">
        <v>6</v>
      </c>
      <c r="M129" s="56">
        <v>0</v>
      </c>
      <c r="N129" s="56">
        <v>0</v>
      </c>
      <c r="O129" s="54">
        <v>0</v>
      </c>
      <c r="P129" s="55">
        <v>360</v>
      </c>
    </row>
    <row r="130" spans="2:16" x14ac:dyDescent="0.3">
      <c r="B130" s="51" t="s">
        <v>399</v>
      </c>
      <c r="C130" s="51" t="s">
        <v>3</v>
      </c>
      <c r="D130" s="53" t="s">
        <v>478</v>
      </c>
      <c r="E130" s="53" t="s">
        <v>11</v>
      </c>
      <c r="F130" s="53">
        <v>1</v>
      </c>
      <c r="G130" s="54">
        <v>8</v>
      </c>
      <c r="H130" s="54">
        <v>8</v>
      </c>
      <c r="I130" s="54">
        <v>0</v>
      </c>
      <c r="J130" s="54">
        <v>0</v>
      </c>
      <c r="K130" s="54">
        <v>8</v>
      </c>
      <c r="L130" s="55">
        <v>8</v>
      </c>
      <c r="M130" s="56">
        <v>0</v>
      </c>
      <c r="N130" s="56">
        <v>0</v>
      </c>
      <c r="O130" s="54">
        <v>0</v>
      </c>
      <c r="P130" s="55">
        <v>480</v>
      </c>
    </row>
    <row r="131" spans="2:16" x14ac:dyDescent="0.3">
      <c r="B131" s="51" t="s">
        <v>328</v>
      </c>
      <c r="C131" s="51" t="s">
        <v>3</v>
      </c>
      <c r="D131" s="53" t="s">
        <v>263</v>
      </c>
      <c r="E131" s="53" t="s">
        <v>4</v>
      </c>
      <c r="F131" s="53">
        <v>1</v>
      </c>
      <c r="G131" s="54">
        <v>4</v>
      </c>
      <c r="H131" s="54">
        <v>2</v>
      </c>
      <c r="I131" s="54">
        <v>0</v>
      </c>
      <c r="J131" s="54">
        <v>0</v>
      </c>
      <c r="K131" s="54">
        <v>4</v>
      </c>
      <c r="L131" s="55">
        <v>2</v>
      </c>
      <c r="M131" s="56">
        <v>0</v>
      </c>
      <c r="N131" s="56">
        <v>0</v>
      </c>
      <c r="O131" s="54">
        <v>0</v>
      </c>
      <c r="P131" s="55">
        <v>160</v>
      </c>
    </row>
    <row r="132" spans="2:16" x14ac:dyDescent="0.3">
      <c r="B132" s="51" t="s">
        <v>62</v>
      </c>
      <c r="C132" s="51" t="s">
        <v>3</v>
      </c>
      <c r="D132" s="53" t="s">
        <v>306</v>
      </c>
      <c r="E132" s="53" t="s">
        <v>11</v>
      </c>
      <c r="F132" s="53">
        <v>1</v>
      </c>
      <c r="G132" s="54">
        <v>8</v>
      </c>
      <c r="H132" s="54">
        <v>8</v>
      </c>
      <c r="I132" s="54">
        <v>4</v>
      </c>
      <c r="J132" s="54">
        <v>8</v>
      </c>
      <c r="K132" s="54">
        <v>4</v>
      </c>
      <c r="L132" s="55">
        <v>0</v>
      </c>
      <c r="M132" s="56">
        <v>0.5</v>
      </c>
      <c r="N132" s="56">
        <v>1</v>
      </c>
      <c r="O132" s="54">
        <v>363</v>
      </c>
      <c r="P132" s="55">
        <v>80</v>
      </c>
    </row>
    <row r="133" spans="2:16" x14ac:dyDescent="0.3">
      <c r="B133" s="51" t="s">
        <v>200</v>
      </c>
      <c r="C133" s="51" t="s">
        <v>3</v>
      </c>
      <c r="D133" s="53" t="s">
        <v>290</v>
      </c>
      <c r="E133" s="53" t="s">
        <v>11</v>
      </c>
      <c r="F133" s="53">
        <v>1</v>
      </c>
      <c r="G133" s="54">
        <v>8</v>
      </c>
      <c r="H133" s="54">
        <v>8</v>
      </c>
      <c r="I133" s="54">
        <v>4</v>
      </c>
      <c r="J133" s="54">
        <v>2</v>
      </c>
      <c r="K133" s="54">
        <v>4</v>
      </c>
      <c r="L133" s="55">
        <v>6</v>
      </c>
      <c r="M133" s="56">
        <v>0.5</v>
      </c>
      <c r="N133" s="56">
        <v>0.25</v>
      </c>
      <c r="O133" s="54">
        <v>160</v>
      </c>
      <c r="P133" s="55">
        <v>320</v>
      </c>
    </row>
    <row r="134" spans="2:16" x14ac:dyDescent="0.3">
      <c r="B134" s="51" t="s">
        <v>222</v>
      </c>
      <c r="C134" s="51" t="s">
        <v>3</v>
      </c>
      <c r="D134" s="53" t="s">
        <v>308</v>
      </c>
      <c r="E134" s="53" t="s">
        <v>4</v>
      </c>
      <c r="F134" s="53">
        <v>1</v>
      </c>
      <c r="G134" s="54">
        <v>4</v>
      </c>
      <c r="H134" s="54">
        <v>2</v>
      </c>
      <c r="I134" s="54">
        <v>0</v>
      </c>
      <c r="J134" s="54">
        <v>0</v>
      </c>
      <c r="K134" s="54">
        <v>4</v>
      </c>
      <c r="L134" s="55">
        <v>2</v>
      </c>
      <c r="M134" s="56">
        <v>0</v>
      </c>
      <c r="N134" s="56">
        <v>0</v>
      </c>
      <c r="O134" s="54">
        <v>0</v>
      </c>
      <c r="P134" s="55">
        <v>160</v>
      </c>
    </row>
    <row r="135" spans="2:16" x14ac:dyDescent="0.3">
      <c r="B135" s="51" t="s">
        <v>234</v>
      </c>
      <c r="C135" s="51" t="s">
        <v>3</v>
      </c>
      <c r="D135" s="53" t="s">
        <v>296</v>
      </c>
      <c r="E135" s="53" t="s">
        <v>4</v>
      </c>
      <c r="F135" s="53">
        <v>1</v>
      </c>
      <c r="G135" s="54">
        <v>4</v>
      </c>
      <c r="H135" s="54">
        <v>2</v>
      </c>
      <c r="I135" s="54">
        <v>0</v>
      </c>
      <c r="J135" s="54">
        <v>0</v>
      </c>
      <c r="K135" s="54">
        <v>4</v>
      </c>
      <c r="L135" s="55">
        <v>2</v>
      </c>
      <c r="M135" s="56">
        <v>0</v>
      </c>
      <c r="N135" s="56">
        <v>0</v>
      </c>
      <c r="O135" s="54">
        <v>0</v>
      </c>
      <c r="P135" s="55">
        <v>160</v>
      </c>
    </row>
    <row r="136" spans="2:16" x14ac:dyDescent="0.3">
      <c r="B136" s="51" t="s">
        <v>322</v>
      </c>
      <c r="C136" s="51" t="s">
        <v>3</v>
      </c>
      <c r="D136" s="53" t="s">
        <v>265</v>
      </c>
      <c r="E136" s="53" t="s">
        <v>4</v>
      </c>
      <c r="F136" s="53">
        <v>1</v>
      </c>
      <c r="G136" s="54">
        <v>4</v>
      </c>
      <c r="H136" s="54">
        <v>2</v>
      </c>
      <c r="I136" s="54">
        <v>0</v>
      </c>
      <c r="J136" s="54">
        <v>0</v>
      </c>
      <c r="K136" s="54">
        <v>4</v>
      </c>
      <c r="L136" s="55">
        <v>2</v>
      </c>
      <c r="M136" s="56">
        <v>0</v>
      </c>
      <c r="N136" s="56">
        <v>0</v>
      </c>
      <c r="O136" s="54">
        <v>0</v>
      </c>
      <c r="P136" s="55">
        <v>160</v>
      </c>
    </row>
    <row r="137" spans="2:16" x14ac:dyDescent="0.3">
      <c r="B137" s="51" t="s">
        <v>425</v>
      </c>
      <c r="C137" s="51" t="s">
        <v>3</v>
      </c>
      <c r="D137" s="53" t="s">
        <v>479</v>
      </c>
      <c r="E137" s="53" t="s">
        <v>11</v>
      </c>
      <c r="F137" s="53">
        <v>1</v>
      </c>
      <c r="G137" s="54">
        <v>8</v>
      </c>
      <c r="H137" s="54">
        <v>8</v>
      </c>
      <c r="I137" s="54">
        <v>0</v>
      </c>
      <c r="J137" s="54">
        <v>0</v>
      </c>
      <c r="K137" s="54">
        <v>8</v>
      </c>
      <c r="L137" s="55">
        <v>8</v>
      </c>
      <c r="M137" s="56">
        <v>0</v>
      </c>
      <c r="N137" s="56">
        <v>0</v>
      </c>
      <c r="O137" s="54">
        <v>0</v>
      </c>
      <c r="P137" s="55">
        <v>480</v>
      </c>
    </row>
    <row r="138" spans="2:16" x14ac:dyDescent="0.3">
      <c r="B138" s="51" t="s">
        <v>332</v>
      </c>
      <c r="C138" s="51" t="s">
        <v>3</v>
      </c>
      <c r="D138" s="53" t="s">
        <v>257</v>
      </c>
      <c r="E138" s="53" t="s">
        <v>4</v>
      </c>
      <c r="F138" s="53">
        <v>1</v>
      </c>
      <c r="G138" s="54">
        <v>4</v>
      </c>
      <c r="H138" s="54">
        <v>2</v>
      </c>
      <c r="I138" s="54">
        <v>0</v>
      </c>
      <c r="J138" s="54">
        <v>1</v>
      </c>
      <c r="K138" s="54">
        <v>4</v>
      </c>
      <c r="L138" s="55">
        <v>1</v>
      </c>
      <c r="M138" s="56">
        <v>0</v>
      </c>
      <c r="N138" s="56">
        <v>0.5</v>
      </c>
      <c r="O138" s="54">
        <v>40</v>
      </c>
      <c r="P138" s="55">
        <v>120</v>
      </c>
    </row>
    <row r="139" spans="2:16" x14ac:dyDescent="0.3">
      <c r="B139" s="51" t="s">
        <v>175</v>
      </c>
      <c r="C139" s="51" t="s">
        <v>3</v>
      </c>
      <c r="D139" s="53" t="s">
        <v>292</v>
      </c>
      <c r="E139" s="53" t="s">
        <v>4</v>
      </c>
      <c r="F139" s="53">
        <v>1</v>
      </c>
      <c r="G139" s="54">
        <v>4</v>
      </c>
      <c r="H139" s="54">
        <v>2</v>
      </c>
      <c r="I139" s="54">
        <v>0</v>
      </c>
      <c r="J139" s="54">
        <v>0</v>
      </c>
      <c r="K139" s="54">
        <v>4</v>
      </c>
      <c r="L139" s="55">
        <v>2</v>
      </c>
      <c r="M139" s="56">
        <v>0</v>
      </c>
      <c r="N139" s="56">
        <v>0</v>
      </c>
      <c r="O139" s="54">
        <v>0</v>
      </c>
      <c r="P139" s="55">
        <v>160</v>
      </c>
    </row>
    <row r="140" spans="2:16" x14ac:dyDescent="0.3">
      <c r="B140" s="51" t="s">
        <v>173</v>
      </c>
      <c r="C140" s="51" t="s">
        <v>3</v>
      </c>
      <c r="D140" s="53" t="s">
        <v>270</v>
      </c>
      <c r="E140" s="53" t="s">
        <v>4</v>
      </c>
      <c r="F140" s="53">
        <v>2</v>
      </c>
      <c r="G140" s="54">
        <v>8</v>
      </c>
      <c r="H140" s="54">
        <v>4</v>
      </c>
      <c r="I140" s="54">
        <v>2</v>
      </c>
      <c r="J140" s="54">
        <v>2</v>
      </c>
      <c r="K140" s="54">
        <v>6</v>
      </c>
      <c r="L140" s="55">
        <v>2</v>
      </c>
      <c r="M140" s="56">
        <v>0.25</v>
      </c>
      <c r="N140" s="56">
        <v>0.5</v>
      </c>
      <c r="O140" s="54">
        <v>80</v>
      </c>
      <c r="P140" s="55">
        <v>200</v>
      </c>
    </row>
    <row r="141" spans="2:16" x14ac:dyDescent="0.3">
      <c r="B141" s="51" t="s">
        <v>30</v>
      </c>
      <c r="C141" s="51" t="s">
        <v>14</v>
      </c>
      <c r="D141" s="53" t="s">
        <v>298</v>
      </c>
      <c r="E141" s="53" t="s">
        <v>11</v>
      </c>
      <c r="F141" s="53">
        <v>3</v>
      </c>
      <c r="G141" s="54">
        <v>24</v>
      </c>
      <c r="H141" s="54">
        <v>24</v>
      </c>
      <c r="I141" s="54">
        <v>7</v>
      </c>
      <c r="J141" s="54">
        <v>14</v>
      </c>
      <c r="K141" s="54">
        <v>17</v>
      </c>
      <c r="L141" s="55">
        <v>10</v>
      </c>
      <c r="M141" s="56">
        <v>0.29166666666666669</v>
      </c>
      <c r="N141" s="56">
        <v>0.58333333333333337</v>
      </c>
      <c r="O141" s="54">
        <v>600</v>
      </c>
      <c r="P141" s="55">
        <v>740</v>
      </c>
    </row>
    <row r="142" spans="2:16" x14ac:dyDescent="0.3">
      <c r="B142" s="51" t="s">
        <v>43</v>
      </c>
      <c r="C142" s="51" t="s">
        <v>14</v>
      </c>
      <c r="D142" s="53" t="s">
        <v>310</v>
      </c>
      <c r="E142" s="53" t="s">
        <v>4</v>
      </c>
      <c r="F142" s="53">
        <v>2</v>
      </c>
      <c r="G142" s="54">
        <v>8</v>
      </c>
      <c r="H142" s="54">
        <v>4</v>
      </c>
      <c r="I142" s="54">
        <v>2</v>
      </c>
      <c r="J142" s="54">
        <v>0</v>
      </c>
      <c r="K142" s="54">
        <v>6</v>
      </c>
      <c r="L142" s="55">
        <v>4</v>
      </c>
      <c r="M142" s="56">
        <v>0.25</v>
      </c>
      <c r="N142" s="56">
        <v>0</v>
      </c>
      <c r="O142" s="54">
        <v>0</v>
      </c>
      <c r="P142" s="93">
        <v>280</v>
      </c>
    </row>
    <row r="143" spans="2:16" x14ac:dyDescent="0.3">
      <c r="B143" s="51" t="s">
        <v>334</v>
      </c>
      <c r="C143" s="51" t="s">
        <v>7</v>
      </c>
      <c r="D143" s="53" t="s">
        <v>253</v>
      </c>
      <c r="E143" s="53" t="s">
        <v>4</v>
      </c>
      <c r="F143" s="53">
        <v>1</v>
      </c>
      <c r="G143" s="54">
        <v>4</v>
      </c>
      <c r="H143" s="54">
        <v>2</v>
      </c>
      <c r="I143" s="54">
        <v>0</v>
      </c>
      <c r="J143" s="54">
        <v>0</v>
      </c>
      <c r="K143" s="54">
        <v>4</v>
      </c>
      <c r="L143" s="55">
        <v>2</v>
      </c>
      <c r="M143" s="56">
        <v>0</v>
      </c>
      <c r="N143" s="56">
        <v>0</v>
      </c>
      <c r="O143" s="54">
        <v>0</v>
      </c>
      <c r="P143" s="55">
        <v>160</v>
      </c>
    </row>
    <row r="144" spans="2:16" x14ac:dyDescent="0.3">
      <c r="B144" s="51" t="s">
        <v>105</v>
      </c>
      <c r="C144" s="51" t="s">
        <v>7</v>
      </c>
      <c r="D144" s="53" t="s">
        <v>300</v>
      </c>
      <c r="E144" s="53" t="s">
        <v>11</v>
      </c>
      <c r="F144" s="53">
        <v>2</v>
      </c>
      <c r="G144" s="54">
        <v>16</v>
      </c>
      <c r="H144" s="54">
        <v>16</v>
      </c>
      <c r="I144" s="54">
        <v>12</v>
      </c>
      <c r="J144" s="54">
        <v>8</v>
      </c>
      <c r="K144" s="54">
        <v>4</v>
      </c>
      <c r="L144" s="55">
        <v>8</v>
      </c>
      <c r="M144" s="56">
        <v>0.75</v>
      </c>
      <c r="N144" s="56">
        <v>0.5</v>
      </c>
      <c r="O144" s="54">
        <v>160</v>
      </c>
      <c r="P144" s="55">
        <v>400</v>
      </c>
    </row>
    <row r="145" spans="2:16" x14ac:dyDescent="0.3">
      <c r="B145" s="51" t="s">
        <v>336</v>
      </c>
      <c r="C145" s="51" t="s">
        <v>7</v>
      </c>
      <c r="D145" s="53" t="s">
        <v>302</v>
      </c>
      <c r="E145" s="53" t="s">
        <v>4</v>
      </c>
      <c r="F145" s="53">
        <v>1</v>
      </c>
      <c r="G145" s="54">
        <v>4</v>
      </c>
      <c r="H145" s="54">
        <v>2</v>
      </c>
      <c r="I145" s="54">
        <v>0</v>
      </c>
      <c r="J145" s="54">
        <v>0</v>
      </c>
      <c r="K145" s="54">
        <v>4</v>
      </c>
      <c r="L145" s="55">
        <v>2</v>
      </c>
      <c r="M145" s="56">
        <v>0</v>
      </c>
      <c r="N145" s="56">
        <v>0</v>
      </c>
      <c r="O145" s="54">
        <v>0</v>
      </c>
      <c r="P145" s="55">
        <v>160</v>
      </c>
    </row>
    <row r="146" spans="2:16" x14ac:dyDescent="0.3">
      <c r="B146" s="51" t="s">
        <v>379</v>
      </c>
      <c r="C146" s="51" t="s">
        <v>7</v>
      </c>
      <c r="D146" s="53" t="s">
        <v>255</v>
      </c>
      <c r="E146" s="53" t="s">
        <v>4</v>
      </c>
      <c r="F146" s="53">
        <v>1</v>
      </c>
      <c r="G146" s="54">
        <v>4</v>
      </c>
      <c r="H146" s="54">
        <v>2</v>
      </c>
      <c r="I146" s="54">
        <v>0</v>
      </c>
      <c r="J146" s="54">
        <v>0</v>
      </c>
      <c r="K146" s="54">
        <v>4</v>
      </c>
      <c r="L146" s="55">
        <v>2</v>
      </c>
      <c r="M146" s="56">
        <v>0</v>
      </c>
      <c r="N146" s="56">
        <v>0</v>
      </c>
      <c r="O146" s="54">
        <v>0</v>
      </c>
      <c r="P146" s="55">
        <v>160</v>
      </c>
    </row>
    <row r="147" spans="2:16" x14ac:dyDescent="0.3">
      <c r="B147" s="51" t="s">
        <v>338</v>
      </c>
      <c r="C147" s="51" t="s">
        <v>7</v>
      </c>
      <c r="D147" s="53" t="s">
        <v>249</v>
      </c>
      <c r="E147" s="53" t="s">
        <v>4</v>
      </c>
      <c r="F147" s="53">
        <v>1</v>
      </c>
      <c r="G147" s="54">
        <v>4</v>
      </c>
      <c r="H147" s="54">
        <v>2</v>
      </c>
      <c r="I147" s="54">
        <v>0</v>
      </c>
      <c r="J147" s="54">
        <v>0</v>
      </c>
      <c r="K147" s="54">
        <v>4</v>
      </c>
      <c r="L147" s="55">
        <v>2</v>
      </c>
      <c r="M147" s="56">
        <v>0</v>
      </c>
      <c r="N147" s="56">
        <v>0</v>
      </c>
      <c r="O147" s="54">
        <v>0</v>
      </c>
      <c r="P147" s="55">
        <v>160</v>
      </c>
    </row>
    <row r="148" spans="2:16" x14ac:dyDescent="0.3">
      <c r="B148" s="51" t="s">
        <v>269</v>
      </c>
      <c r="C148" s="51" t="s">
        <v>75</v>
      </c>
      <c r="D148" s="53" t="s">
        <v>284</v>
      </c>
      <c r="E148" s="53" t="s">
        <v>11</v>
      </c>
      <c r="F148" s="53">
        <v>1</v>
      </c>
      <c r="G148" s="54">
        <v>8</v>
      </c>
      <c r="H148" s="54">
        <v>8</v>
      </c>
      <c r="I148" s="54">
        <v>1</v>
      </c>
      <c r="J148" s="54">
        <v>1</v>
      </c>
      <c r="K148" s="54">
        <v>7</v>
      </c>
      <c r="L148" s="55">
        <v>7</v>
      </c>
      <c r="M148" s="56">
        <v>0.125</v>
      </c>
      <c r="N148" s="56">
        <v>0.125</v>
      </c>
      <c r="O148" s="54">
        <v>60</v>
      </c>
      <c r="P148" s="55">
        <v>420</v>
      </c>
    </row>
    <row r="149" spans="2:16" x14ac:dyDescent="0.3">
      <c r="B149" s="51" t="s">
        <v>139</v>
      </c>
      <c r="C149" s="51" t="s">
        <v>75</v>
      </c>
      <c r="D149" s="53" t="s">
        <v>266</v>
      </c>
      <c r="E149" s="53" t="s">
        <v>4</v>
      </c>
      <c r="F149" s="53">
        <v>1</v>
      </c>
      <c r="G149" s="54">
        <v>4</v>
      </c>
      <c r="H149" s="54">
        <v>2</v>
      </c>
      <c r="I149" s="54">
        <v>0</v>
      </c>
      <c r="J149" s="54">
        <v>0</v>
      </c>
      <c r="K149" s="54">
        <v>4</v>
      </c>
      <c r="L149" s="55">
        <v>2</v>
      </c>
      <c r="M149" s="56">
        <v>0</v>
      </c>
      <c r="N149" s="56">
        <v>0</v>
      </c>
      <c r="O149" s="54">
        <v>0</v>
      </c>
      <c r="P149" s="55">
        <v>160</v>
      </c>
    </row>
    <row r="150" spans="2:16" x14ac:dyDescent="0.3">
      <c r="B150" s="51" t="s">
        <v>260</v>
      </c>
      <c r="C150" s="51" t="s">
        <v>75</v>
      </c>
      <c r="D150" s="53" t="s">
        <v>311</v>
      </c>
      <c r="E150" s="53" t="s">
        <v>4</v>
      </c>
      <c r="F150" s="53">
        <v>1</v>
      </c>
      <c r="G150" s="54">
        <v>4</v>
      </c>
      <c r="H150" s="54">
        <v>2</v>
      </c>
      <c r="I150" s="54">
        <v>2</v>
      </c>
      <c r="J150" s="54">
        <v>1</v>
      </c>
      <c r="K150" s="54">
        <v>2</v>
      </c>
      <c r="L150" s="55">
        <v>1</v>
      </c>
      <c r="M150" s="56">
        <v>0.5</v>
      </c>
      <c r="N150" s="56">
        <v>0.5</v>
      </c>
      <c r="O150" s="54">
        <v>56</v>
      </c>
      <c r="P150" s="55">
        <v>80</v>
      </c>
    </row>
    <row r="151" spans="2:16" x14ac:dyDescent="0.3">
      <c r="B151" s="51" t="s">
        <v>405</v>
      </c>
      <c r="C151" s="51" t="s">
        <v>10</v>
      </c>
      <c r="D151" s="53" t="s">
        <v>480</v>
      </c>
      <c r="E151" s="53" t="s">
        <v>4</v>
      </c>
      <c r="F151" s="53">
        <v>1</v>
      </c>
      <c r="G151" s="54">
        <v>4</v>
      </c>
      <c r="H151" s="54">
        <v>2</v>
      </c>
      <c r="I151" s="54">
        <v>0</v>
      </c>
      <c r="J151" s="54">
        <v>0</v>
      </c>
      <c r="K151" s="54">
        <v>4</v>
      </c>
      <c r="L151" s="55">
        <v>2</v>
      </c>
      <c r="M151" s="56">
        <v>0</v>
      </c>
      <c r="N151" s="56">
        <v>0</v>
      </c>
      <c r="O151" s="54">
        <v>0</v>
      </c>
      <c r="P151" s="55">
        <v>160</v>
      </c>
    </row>
    <row r="152" spans="2:16" x14ac:dyDescent="0.3">
      <c r="B152" s="51" t="s">
        <v>68</v>
      </c>
      <c r="C152" s="51" t="s">
        <v>7</v>
      </c>
      <c r="D152" s="53" t="s">
        <v>274</v>
      </c>
      <c r="E152" s="53" t="s">
        <v>4</v>
      </c>
      <c r="F152" s="53">
        <v>2</v>
      </c>
      <c r="G152" s="54">
        <v>8</v>
      </c>
      <c r="H152" s="54">
        <v>4</v>
      </c>
      <c r="I152" s="54">
        <v>2</v>
      </c>
      <c r="J152" s="54">
        <v>0</v>
      </c>
      <c r="K152" s="54">
        <v>6</v>
      </c>
      <c r="L152" s="54">
        <v>4</v>
      </c>
      <c r="M152" s="56">
        <v>0.25</v>
      </c>
      <c r="N152" s="56">
        <v>0</v>
      </c>
      <c r="O152" s="54">
        <v>0</v>
      </c>
      <c r="P152" s="55">
        <v>280</v>
      </c>
    </row>
    <row r="153" spans="2:16" x14ac:dyDescent="0.3">
      <c r="B153" s="51" t="s">
        <v>240</v>
      </c>
      <c r="C153" s="51" t="s">
        <v>142</v>
      </c>
      <c r="D153" s="53" t="s">
        <v>294</v>
      </c>
      <c r="E153" s="53" t="s">
        <v>11</v>
      </c>
      <c r="F153" s="53">
        <v>1</v>
      </c>
      <c r="G153" s="54">
        <v>8</v>
      </c>
      <c r="H153" s="54">
        <v>8</v>
      </c>
      <c r="I153" s="54">
        <v>8</v>
      </c>
      <c r="J153" s="54">
        <v>8</v>
      </c>
      <c r="K153" s="54">
        <v>0</v>
      </c>
      <c r="L153" s="55">
        <v>0</v>
      </c>
      <c r="M153" s="56">
        <v>1</v>
      </c>
      <c r="N153" s="56">
        <v>1</v>
      </c>
      <c r="O153" s="54">
        <v>400</v>
      </c>
      <c r="P153" s="55">
        <v>0</v>
      </c>
    </row>
    <row r="154" spans="2:16" x14ac:dyDescent="0.3">
      <c r="B154" s="51" t="s">
        <v>2</v>
      </c>
      <c r="C154" s="51" t="s">
        <v>3</v>
      </c>
      <c r="D154" s="53" t="s">
        <v>251</v>
      </c>
      <c r="E154" s="53" t="s">
        <v>4</v>
      </c>
      <c r="F154" s="53">
        <v>1</v>
      </c>
      <c r="G154" s="54">
        <v>4</v>
      </c>
      <c r="H154" s="54">
        <v>2</v>
      </c>
      <c r="I154" s="54">
        <v>2</v>
      </c>
      <c r="J154" s="54">
        <v>0</v>
      </c>
      <c r="K154" s="54">
        <v>2</v>
      </c>
      <c r="L154" s="55">
        <v>2</v>
      </c>
      <c r="M154" s="56">
        <v>0.5</v>
      </c>
      <c r="N154" s="56">
        <v>0</v>
      </c>
      <c r="O154" s="54">
        <v>0</v>
      </c>
      <c r="P154" s="55">
        <v>120</v>
      </c>
    </row>
    <row r="155" spans="2:16" x14ac:dyDescent="0.3">
      <c r="B155" s="51" t="s">
        <v>254</v>
      </c>
      <c r="C155" s="51" t="s">
        <v>3</v>
      </c>
      <c r="D155" s="53" t="s">
        <v>278</v>
      </c>
      <c r="E155" s="53" t="s">
        <v>18</v>
      </c>
      <c r="F155" s="53">
        <v>1</v>
      </c>
      <c r="G155" s="54">
        <v>6</v>
      </c>
      <c r="H155" s="54">
        <v>6</v>
      </c>
      <c r="I155" s="54">
        <v>0</v>
      </c>
      <c r="J155" s="54">
        <v>0</v>
      </c>
      <c r="K155" s="54">
        <v>6</v>
      </c>
      <c r="L155" s="55">
        <v>6</v>
      </c>
      <c r="M155" s="56">
        <v>0</v>
      </c>
      <c r="N155" s="56">
        <v>0</v>
      </c>
      <c r="O155" s="54">
        <v>0</v>
      </c>
      <c r="P155" s="55">
        <v>360</v>
      </c>
    </row>
    <row r="156" spans="2:16" x14ac:dyDescent="0.3">
      <c r="B156" s="51" t="s">
        <v>218</v>
      </c>
      <c r="C156" s="51" t="s">
        <v>3</v>
      </c>
      <c r="D156" s="53" t="s">
        <v>247</v>
      </c>
      <c r="E156" s="53" t="s">
        <v>4</v>
      </c>
      <c r="F156" s="53">
        <v>1</v>
      </c>
      <c r="G156" s="54">
        <v>4</v>
      </c>
      <c r="H156" s="54">
        <v>2</v>
      </c>
      <c r="I156" s="54">
        <v>0</v>
      </c>
      <c r="J156" s="54">
        <v>0</v>
      </c>
      <c r="K156" s="54">
        <v>4</v>
      </c>
      <c r="L156" s="55">
        <v>2</v>
      </c>
      <c r="M156" s="56">
        <v>0</v>
      </c>
      <c r="N156" s="56">
        <v>0</v>
      </c>
      <c r="O156" s="54">
        <v>0</v>
      </c>
      <c r="P156" s="55">
        <v>160</v>
      </c>
    </row>
    <row r="157" spans="2:16" s="31" customFormat="1" x14ac:dyDescent="0.3">
      <c r="B157" s="51" t="s">
        <v>415</v>
      </c>
      <c r="C157" s="51" t="s">
        <v>3</v>
      </c>
      <c r="D157" s="53" t="s">
        <v>481</v>
      </c>
      <c r="E157" s="53" t="s">
        <v>4</v>
      </c>
      <c r="F157" s="53">
        <v>1</v>
      </c>
      <c r="G157" s="54">
        <v>4</v>
      </c>
      <c r="H157" s="54">
        <v>2</v>
      </c>
      <c r="I157" s="54">
        <v>0</v>
      </c>
      <c r="J157" s="54">
        <v>0</v>
      </c>
      <c r="K157" s="54">
        <v>4</v>
      </c>
      <c r="L157" s="55">
        <v>2</v>
      </c>
      <c r="M157" s="56">
        <v>0</v>
      </c>
      <c r="N157" s="56">
        <v>0</v>
      </c>
      <c r="O157" s="54">
        <v>0</v>
      </c>
      <c r="P157" s="55">
        <v>160</v>
      </c>
    </row>
    <row r="158" spans="2:16" x14ac:dyDescent="0.3">
      <c r="B158" s="51" t="s">
        <v>179</v>
      </c>
      <c r="C158" s="51" t="s">
        <v>180</v>
      </c>
      <c r="D158" s="53" t="s">
        <v>239</v>
      </c>
      <c r="E158" s="53" t="s">
        <v>4</v>
      </c>
      <c r="F158" s="53">
        <v>1</v>
      </c>
      <c r="G158" s="54">
        <v>4</v>
      </c>
      <c r="H158" s="54">
        <v>2</v>
      </c>
      <c r="I158" s="54">
        <v>0</v>
      </c>
      <c r="J158" s="54">
        <v>0</v>
      </c>
      <c r="K158" s="54">
        <v>4</v>
      </c>
      <c r="L158" s="55">
        <v>2</v>
      </c>
      <c r="M158" s="56">
        <v>0</v>
      </c>
      <c r="N158" s="56">
        <v>0</v>
      </c>
      <c r="O158" s="54">
        <v>0</v>
      </c>
      <c r="P158" s="55">
        <v>160</v>
      </c>
    </row>
    <row r="159" spans="2:16" x14ac:dyDescent="0.3">
      <c r="B159" s="51" t="s">
        <v>210</v>
      </c>
      <c r="C159" s="51" t="s">
        <v>10</v>
      </c>
      <c r="D159" s="53" t="s">
        <v>282</v>
      </c>
      <c r="E159" s="53" t="s">
        <v>4</v>
      </c>
      <c r="F159" s="53">
        <v>1</v>
      </c>
      <c r="G159" s="54">
        <v>4</v>
      </c>
      <c r="H159" s="54">
        <v>2</v>
      </c>
      <c r="I159" s="54">
        <v>2</v>
      </c>
      <c r="J159" s="54">
        <v>0</v>
      </c>
      <c r="K159" s="54">
        <v>2</v>
      </c>
      <c r="L159" s="55">
        <v>2</v>
      </c>
      <c r="M159" s="56">
        <v>0.5</v>
      </c>
      <c r="N159" s="56">
        <v>0</v>
      </c>
      <c r="O159" s="54">
        <v>0</v>
      </c>
      <c r="P159" s="55">
        <v>120</v>
      </c>
    </row>
    <row r="160" spans="2:16" x14ac:dyDescent="0.3">
      <c r="B160" s="51" t="s">
        <v>358</v>
      </c>
      <c r="C160" s="51" t="s">
        <v>10</v>
      </c>
      <c r="D160" s="53" t="s">
        <v>286</v>
      </c>
      <c r="E160" s="53" t="s">
        <v>4</v>
      </c>
      <c r="F160" s="53">
        <v>1</v>
      </c>
      <c r="G160" s="54">
        <v>4</v>
      </c>
      <c r="H160" s="54">
        <v>2</v>
      </c>
      <c r="I160" s="54">
        <v>0</v>
      </c>
      <c r="J160" s="54">
        <v>0</v>
      </c>
      <c r="K160" s="54">
        <v>4</v>
      </c>
      <c r="L160" s="55">
        <v>2</v>
      </c>
      <c r="M160" s="56">
        <v>0</v>
      </c>
      <c r="N160" s="56">
        <v>0</v>
      </c>
      <c r="O160" s="54">
        <v>0</v>
      </c>
      <c r="P160" s="55">
        <v>160</v>
      </c>
    </row>
    <row r="161" spans="2:16" x14ac:dyDescent="0.3">
      <c r="B161" s="51" t="s">
        <v>146</v>
      </c>
      <c r="C161" s="51" t="s">
        <v>10</v>
      </c>
      <c r="D161" s="53" t="s">
        <v>261</v>
      </c>
      <c r="E161" s="53" t="s">
        <v>4</v>
      </c>
      <c r="F161" s="53">
        <v>1</v>
      </c>
      <c r="G161" s="54">
        <v>4</v>
      </c>
      <c r="H161" s="54">
        <v>2</v>
      </c>
      <c r="I161" s="54">
        <v>1</v>
      </c>
      <c r="J161" s="54">
        <v>0</v>
      </c>
      <c r="K161" s="54">
        <v>3</v>
      </c>
      <c r="L161" s="55">
        <v>2</v>
      </c>
      <c r="M161" s="56">
        <v>0.25</v>
      </c>
      <c r="N161" s="56">
        <v>0</v>
      </c>
      <c r="O161" s="54">
        <v>0</v>
      </c>
      <c r="P161" s="55">
        <v>140</v>
      </c>
    </row>
    <row r="162" spans="2:16" x14ac:dyDescent="0.3">
      <c r="B162" s="51" t="s">
        <v>230</v>
      </c>
      <c r="C162" s="51" t="s">
        <v>10</v>
      </c>
      <c r="D162" s="53" t="s">
        <v>67</v>
      </c>
      <c r="E162" s="53" t="s">
        <v>4</v>
      </c>
      <c r="F162" s="53">
        <v>1</v>
      </c>
      <c r="G162" s="54">
        <v>4</v>
      </c>
      <c r="H162" s="54">
        <v>2</v>
      </c>
      <c r="I162" s="54">
        <v>0</v>
      </c>
      <c r="J162" s="54">
        <v>0</v>
      </c>
      <c r="K162" s="54">
        <v>4</v>
      </c>
      <c r="L162" s="55">
        <v>2</v>
      </c>
      <c r="M162" s="56">
        <v>0</v>
      </c>
      <c r="N162" s="56">
        <v>0</v>
      </c>
      <c r="O162" s="54">
        <v>0</v>
      </c>
      <c r="P162" s="55">
        <v>160</v>
      </c>
    </row>
    <row r="163" spans="2:16" x14ac:dyDescent="0.3">
      <c r="B163" s="51" t="s">
        <v>244</v>
      </c>
      <c r="C163" s="51" t="s">
        <v>10</v>
      </c>
      <c r="D163" s="53" t="s">
        <v>272</v>
      </c>
      <c r="E163" s="53" t="s">
        <v>4</v>
      </c>
      <c r="F163" s="53">
        <v>1</v>
      </c>
      <c r="G163" s="54">
        <v>4</v>
      </c>
      <c r="H163" s="54">
        <v>2</v>
      </c>
      <c r="I163" s="54">
        <v>1</v>
      </c>
      <c r="J163" s="54">
        <v>0</v>
      </c>
      <c r="K163" s="54">
        <v>3</v>
      </c>
      <c r="L163" s="55">
        <v>2</v>
      </c>
      <c r="M163" s="56">
        <v>0.25</v>
      </c>
      <c r="N163" s="56">
        <v>0</v>
      </c>
      <c r="O163" s="54">
        <v>8</v>
      </c>
      <c r="P163" s="55">
        <v>140</v>
      </c>
    </row>
    <row r="164" spans="2:16" x14ac:dyDescent="0.3">
      <c r="B164" s="51" t="s">
        <v>102</v>
      </c>
      <c r="C164" s="51" t="s">
        <v>7</v>
      </c>
      <c r="D164" s="53" t="s">
        <v>280</v>
      </c>
      <c r="E164" s="53" t="s">
        <v>11</v>
      </c>
      <c r="F164" s="53">
        <v>2</v>
      </c>
      <c r="G164" s="54">
        <v>16</v>
      </c>
      <c r="H164" s="54">
        <v>16</v>
      </c>
      <c r="I164" s="54">
        <v>0</v>
      </c>
      <c r="J164" s="54">
        <v>2</v>
      </c>
      <c r="K164" s="54">
        <v>16</v>
      </c>
      <c r="L164" s="55">
        <v>14</v>
      </c>
      <c r="M164" s="56">
        <v>0</v>
      </c>
      <c r="N164" s="56">
        <v>0.125</v>
      </c>
      <c r="O164" s="54">
        <v>0</v>
      </c>
      <c r="P164" s="55">
        <v>880</v>
      </c>
    </row>
    <row r="165" spans="2:16" x14ac:dyDescent="0.3">
      <c r="B165" s="51" t="s">
        <v>123</v>
      </c>
      <c r="C165" s="51" t="s">
        <v>7</v>
      </c>
      <c r="D165" s="53" t="s">
        <v>259</v>
      </c>
      <c r="E165" s="53" t="s">
        <v>11</v>
      </c>
      <c r="F165" s="53">
        <v>1</v>
      </c>
      <c r="G165" s="54">
        <v>8</v>
      </c>
      <c r="H165" s="54">
        <v>8</v>
      </c>
      <c r="I165" s="54">
        <v>6</v>
      </c>
      <c r="J165" s="54">
        <v>4</v>
      </c>
      <c r="K165" s="54">
        <v>2</v>
      </c>
      <c r="L165" s="55">
        <v>4</v>
      </c>
      <c r="M165" s="56">
        <v>0.75</v>
      </c>
      <c r="N165" s="56">
        <v>0.5</v>
      </c>
      <c r="O165" s="54">
        <v>200</v>
      </c>
      <c r="P165" s="55">
        <v>200</v>
      </c>
    </row>
    <row r="166" spans="2:16" x14ac:dyDescent="0.3">
      <c r="B166" s="51" t="s">
        <v>242</v>
      </c>
      <c r="C166" s="51" t="s">
        <v>14</v>
      </c>
      <c r="D166" s="53" t="s">
        <v>243</v>
      </c>
      <c r="E166" s="53" t="s">
        <v>4</v>
      </c>
      <c r="F166" s="53">
        <v>1</v>
      </c>
      <c r="G166" s="54">
        <v>4</v>
      </c>
      <c r="H166" s="54">
        <v>2</v>
      </c>
      <c r="I166" s="54">
        <v>0</v>
      </c>
      <c r="J166" s="54">
        <v>0</v>
      </c>
      <c r="K166" s="54">
        <v>4</v>
      </c>
      <c r="L166" s="55">
        <v>2</v>
      </c>
      <c r="M166" s="56">
        <v>0</v>
      </c>
      <c r="N166" s="56">
        <v>0</v>
      </c>
      <c r="O166" s="54">
        <v>0</v>
      </c>
      <c r="P166" s="55">
        <v>160</v>
      </c>
    </row>
    <row r="167" spans="2:16" x14ac:dyDescent="0.3">
      <c r="B167" s="51" t="s">
        <v>127</v>
      </c>
      <c r="C167" s="51" t="s">
        <v>14</v>
      </c>
      <c r="D167" s="53" t="s">
        <v>241</v>
      </c>
      <c r="E167" s="53" t="s">
        <v>4</v>
      </c>
      <c r="F167" s="53">
        <v>2</v>
      </c>
      <c r="G167" s="54">
        <v>8</v>
      </c>
      <c r="H167" s="54">
        <v>4</v>
      </c>
      <c r="I167" s="54">
        <v>2</v>
      </c>
      <c r="J167" s="54">
        <v>2</v>
      </c>
      <c r="K167" s="54">
        <v>6</v>
      </c>
      <c r="L167" s="55">
        <v>2</v>
      </c>
      <c r="M167" s="56">
        <v>0.25</v>
      </c>
      <c r="N167" s="56">
        <v>0.5</v>
      </c>
      <c r="O167" s="54">
        <v>80</v>
      </c>
      <c r="P167" s="55">
        <v>200</v>
      </c>
    </row>
    <row r="168" spans="2:16" x14ac:dyDescent="0.3">
      <c r="B168" s="51" t="s">
        <v>91</v>
      </c>
      <c r="C168" s="51" t="s">
        <v>3</v>
      </c>
      <c r="D168" s="53" t="s">
        <v>304</v>
      </c>
      <c r="E168" s="53" t="s">
        <v>18</v>
      </c>
      <c r="F168" s="53">
        <v>1</v>
      </c>
      <c r="G168" s="54">
        <v>6</v>
      </c>
      <c r="H168" s="54">
        <v>6</v>
      </c>
      <c r="I168" s="54">
        <v>2</v>
      </c>
      <c r="J168" s="54">
        <v>2</v>
      </c>
      <c r="K168" s="54">
        <v>4</v>
      </c>
      <c r="L168" s="55">
        <v>4</v>
      </c>
      <c r="M168" s="56">
        <v>0.33333333333333331</v>
      </c>
      <c r="N168" s="56">
        <v>0.33333333333333331</v>
      </c>
      <c r="O168" s="54">
        <v>120</v>
      </c>
      <c r="P168" s="55">
        <v>240</v>
      </c>
    </row>
    <row r="169" spans="2:16" x14ac:dyDescent="0.3">
      <c r="B169" s="51" t="s">
        <v>72</v>
      </c>
      <c r="C169" s="51" t="s">
        <v>3</v>
      </c>
      <c r="D169" s="53" t="s">
        <v>288</v>
      </c>
      <c r="E169" s="53" t="s">
        <v>18</v>
      </c>
      <c r="F169" s="53">
        <v>1</v>
      </c>
      <c r="G169" s="54">
        <v>6</v>
      </c>
      <c r="H169" s="54">
        <v>6</v>
      </c>
      <c r="I169" s="54">
        <v>2</v>
      </c>
      <c r="J169" s="54">
        <v>2</v>
      </c>
      <c r="K169" s="54">
        <v>4</v>
      </c>
      <c r="L169" s="55">
        <v>4</v>
      </c>
      <c r="M169" s="56">
        <v>0.33333333333333331</v>
      </c>
      <c r="N169" s="56">
        <v>0.33333333333333331</v>
      </c>
      <c r="O169" s="54">
        <v>120</v>
      </c>
      <c r="P169" s="55">
        <v>240</v>
      </c>
    </row>
    <row r="170" spans="2:16" x14ac:dyDescent="0.3">
      <c r="B170" s="51" t="s">
        <v>79</v>
      </c>
      <c r="C170" s="51" t="s">
        <v>3</v>
      </c>
      <c r="D170" s="53" t="s">
        <v>245</v>
      </c>
      <c r="E170" s="53" t="s">
        <v>4</v>
      </c>
      <c r="F170" s="53">
        <v>2</v>
      </c>
      <c r="G170" s="54">
        <v>8</v>
      </c>
      <c r="H170" s="54">
        <v>4</v>
      </c>
      <c r="I170" s="54">
        <v>2</v>
      </c>
      <c r="J170" s="54">
        <v>2</v>
      </c>
      <c r="K170" s="54">
        <v>6</v>
      </c>
      <c r="L170" s="55">
        <v>2</v>
      </c>
      <c r="M170" s="56">
        <v>0.25</v>
      </c>
      <c r="N170" s="56">
        <v>0.5</v>
      </c>
      <c r="O170" s="54">
        <v>120</v>
      </c>
      <c r="P170" s="55">
        <v>200</v>
      </c>
    </row>
    <row r="171" spans="2:16" x14ac:dyDescent="0.3">
      <c r="B171" s="51" t="s">
        <v>303</v>
      </c>
      <c r="C171" s="51" t="s">
        <v>3</v>
      </c>
      <c r="D171" s="53" t="s">
        <v>335</v>
      </c>
      <c r="E171" s="53" t="s">
        <v>4</v>
      </c>
      <c r="F171" s="53">
        <v>1</v>
      </c>
      <c r="G171" s="54">
        <v>4</v>
      </c>
      <c r="H171" s="54">
        <v>2</v>
      </c>
      <c r="I171" s="54">
        <v>0</v>
      </c>
      <c r="J171" s="54">
        <v>0</v>
      </c>
      <c r="K171" s="54">
        <v>4</v>
      </c>
      <c r="L171" s="55">
        <v>2</v>
      </c>
      <c r="M171" s="56">
        <v>0</v>
      </c>
      <c r="N171" s="56">
        <v>0</v>
      </c>
      <c r="O171" s="54">
        <v>0</v>
      </c>
      <c r="P171" s="55">
        <v>160</v>
      </c>
    </row>
    <row r="172" spans="2:16" x14ac:dyDescent="0.3">
      <c r="B172" s="51" t="s">
        <v>171</v>
      </c>
      <c r="C172" s="51" t="s">
        <v>3</v>
      </c>
      <c r="D172" s="53" t="s">
        <v>313</v>
      </c>
      <c r="E172" s="53" t="s">
        <v>4</v>
      </c>
      <c r="F172" s="53">
        <v>1</v>
      </c>
      <c r="G172" s="54">
        <v>4</v>
      </c>
      <c r="H172" s="54">
        <v>2</v>
      </c>
      <c r="I172" s="54">
        <v>0</v>
      </c>
      <c r="J172" s="54">
        <v>0</v>
      </c>
      <c r="K172" s="54">
        <v>4</v>
      </c>
      <c r="L172" s="55">
        <v>2</v>
      </c>
      <c r="M172" s="56">
        <v>0</v>
      </c>
      <c r="N172" s="56">
        <v>0</v>
      </c>
      <c r="O172" s="54">
        <v>0</v>
      </c>
      <c r="P172" s="55">
        <v>160</v>
      </c>
    </row>
    <row r="173" spans="2:16" x14ac:dyDescent="0.3">
      <c r="B173" s="51" t="s">
        <v>348</v>
      </c>
      <c r="C173" s="51" t="s">
        <v>46</v>
      </c>
      <c r="D173" s="53" t="s">
        <v>317</v>
      </c>
      <c r="E173" s="53" t="s">
        <v>4</v>
      </c>
      <c r="F173" s="53">
        <v>1</v>
      </c>
      <c r="G173" s="54">
        <v>4</v>
      </c>
      <c r="H173" s="54">
        <v>2</v>
      </c>
      <c r="I173" s="54">
        <v>0</v>
      </c>
      <c r="J173" s="54">
        <v>0</v>
      </c>
      <c r="K173" s="54">
        <v>4</v>
      </c>
      <c r="L173" s="55">
        <v>2</v>
      </c>
      <c r="M173" s="56">
        <v>0</v>
      </c>
      <c r="N173" s="56">
        <v>0</v>
      </c>
      <c r="O173" s="54">
        <v>0</v>
      </c>
      <c r="P173" s="55">
        <v>160</v>
      </c>
    </row>
    <row r="174" spans="2:16" x14ac:dyDescent="0.3">
      <c r="B174" s="51" t="s">
        <v>224</v>
      </c>
      <c r="C174" s="51" t="s">
        <v>39</v>
      </c>
      <c r="D174" s="53" t="s">
        <v>357</v>
      </c>
      <c r="E174" s="53" t="s">
        <v>4</v>
      </c>
      <c r="F174" s="53">
        <v>1</v>
      </c>
      <c r="G174" s="54">
        <v>4</v>
      </c>
      <c r="H174" s="54">
        <v>2</v>
      </c>
      <c r="I174" s="54">
        <v>0</v>
      </c>
      <c r="J174" s="54">
        <v>0</v>
      </c>
      <c r="K174" s="54">
        <v>4</v>
      </c>
      <c r="L174" s="55">
        <v>2</v>
      </c>
      <c r="M174" s="56">
        <v>0</v>
      </c>
      <c r="N174" s="56">
        <v>0</v>
      </c>
      <c r="O174" s="54">
        <v>0</v>
      </c>
      <c r="P174" s="55">
        <v>160</v>
      </c>
    </row>
    <row r="175" spans="2:16" x14ac:dyDescent="0.3">
      <c r="B175" s="51" t="s">
        <v>220</v>
      </c>
      <c r="C175" s="51" t="s">
        <v>39</v>
      </c>
      <c r="D175" s="53" t="s">
        <v>355</v>
      </c>
      <c r="E175" s="53" t="s">
        <v>4</v>
      </c>
      <c r="F175" s="53">
        <v>1</v>
      </c>
      <c r="G175" s="54">
        <v>4</v>
      </c>
      <c r="H175" s="54">
        <v>2</v>
      </c>
      <c r="I175" s="54">
        <v>0</v>
      </c>
      <c r="J175" s="54">
        <v>0</v>
      </c>
      <c r="K175" s="54">
        <v>4</v>
      </c>
      <c r="L175" s="55">
        <v>2</v>
      </c>
      <c r="M175" s="56">
        <v>0</v>
      </c>
      <c r="N175" s="56">
        <v>0</v>
      </c>
      <c r="O175" s="54">
        <v>0</v>
      </c>
      <c r="P175" s="55">
        <v>160</v>
      </c>
    </row>
    <row r="176" spans="2:16" x14ac:dyDescent="0.3">
      <c r="B176" s="51" t="s">
        <v>534</v>
      </c>
      <c r="C176" s="51" t="s">
        <v>39</v>
      </c>
      <c r="D176" s="53" t="s">
        <v>333</v>
      </c>
      <c r="E176" s="53" t="s">
        <v>18</v>
      </c>
      <c r="F176" s="53">
        <v>1</v>
      </c>
      <c r="G176" s="54">
        <v>6</v>
      </c>
      <c r="H176" s="54">
        <v>6</v>
      </c>
      <c r="I176" s="54">
        <v>2</v>
      </c>
      <c r="J176" s="54">
        <v>0</v>
      </c>
      <c r="K176" s="54">
        <v>4</v>
      </c>
      <c r="L176" s="55">
        <v>6</v>
      </c>
      <c r="M176" s="56">
        <v>0.33333333333333331</v>
      </c>
      <c r="N176" s="56">
        <v>0</v>
      </c>
      <c r="O176" s="54">
        <v>0</v>
      </c>
      <c r="P176" s="55">
        <v>320</v>
      </c>
    </row>
    <row r="177" spans="2:16" x14ac:dyDescent="0.3">
      <c r="B177" s="51" t="s">
        <v>38</v>
      </c>
      <c r="C177" s="51" t="s">
        <v>39</v>
      </c>
      <c r="D177" s="53" t="s">
        <v>482</v>
      </c>
      <c r="E177" s="53" t="s">
        <v>4</v>
      </c>
      <c r="F177" s="53">
        <v>2</v>
      </c>
      <c r="G177" s="54">
        <v>8</v>
      </c>
      <c r="H177" s="54">
        <v>4</v>
      </c>
      <c r="I177" s="54">
        <v>0</v>
      </c>
      <c r="J177" s="54">
        <v>0</v>
      </c>
      <c r="K177" s="54">
        <v>8</v>
      </c>
      <c r="L177" s="55">
        <v>4</v>
      </c>
      <c r="M177" s="56">
        <v>0</v>
      </c>
      <c r="N177" s="56">
        <v>0</v>
      </c>
      <c r="O177" s="54">
        <v>0</v>
      </c>
      <c r="P177" s="55">
        <v>320</v>
      </c>
    </row>
    <row r="178" spans="2:16" x14ac:dyDescent="0.3">
      <c r="B178" s="51" t="s">
        <v>107</v>
      </c>
      <c r="C178" s="51" t="s">
        <v>39</v>
      </c>
      <c r="D178" s="53" t="s">
        <v>327</v>
      </c>
      <c r="E178" s="53" t="s">
        <v>11</v>
      </c>
      <c r="F178" s="53">
        <v>1</v>
      </c>
      <c r="G178" s="54">
        <v>8</v>
      </c>
      <c r="H178" s="54">
        <v>8</v>
      </c>
      <c r="I178" s="54">
        <v>0</v>
      </c>
      <c r="J178" s="54">
        <v>0</v>
      </c>
      <c r="K178" s="54">
        <v>8</v>
      </c>
      <c r="L178" s="55">
        <v>8</v>
      </c>
      <c r="M178" s="56">
        <v>0</v>
      </c>
      <c r="N178" s="56">
        <v>0</v>
      </c>
      <c r="O178" s="54">
        <v>0</v>
      </c>
      <c r="P178" s="55">
        <v>480</v>
      </c>
    </row>
    <row r="179" spans="2:16" x14ac:dyDescent="0.3">
      <c r="B179" s="51" t="s">
        <v>407</v>
      </c>
      <c r="C179" s="51" t="s">
        <v>408</v>
      </c>
      <c r="D179" s="53" t="s">
        <v>483</v>
      </c>
      <c r="E179" s="53" t="s">
        <v>4</v>
      </c>
      <c r="F179" s="53">
        <v>1</v>
      </c>
      <c r="G179" s="54">
        <v>4</v>
      </c>
      <c r="H179" s="54">
        <v>2</v>
      </c>
      <c r="I179" s="54">
        <v>0</v>
      </c>
      <c r="J179" s="54">
        <v>0</v>
      </c>
      <c r="K179" s="54">
        <v>4</v>
      </c>
      <c r="L179" s="55">
        <v>2</v>
      </c>
      <c r="M179" s="56">
        <v>0</v>
      </c>
      <c r="N179" s="56">
        <v>0</v>
      </c>
      <c r="O179" s="54">
        <v>0</v>
      </c>
      <c r="P179" s="55">
        <v>160</v>
      </c>
    </row>
    <row r="180" spans="2:16" x14ac:dyDescent="0.3">
      <c r="B180" s="51" t="s">
        <v>256</v>
      </c>
      <c r="C180" s="51" t="s">
        <v>142</v>
      </c>
      <c r="D180" s="53" t="s">
        <v>343</v>
      </c>
      <c r="E180" s="53" t="s">
        <v>4</v>
      </c>
      <c r="F180" s="53">
        <v>1</v>
      </c>
      <c r="G180" s="54">
        <v>4</v>
      </c>
      <c r="H180" s="54">
        <v>2</v>
      </c>
      <c r="I180" s="54">
        <v>5</v>
      </c>
      <c r="J180" s="54">
        <v>2</v>
      </c>
      <c r="K180" s="54">
        <v>-1</v>
      </c>
      <c r="L180" s="55">
        <v>0</v>
      </c>
      <c r="M180" s="56">
        <v>1.25</v>
      </c>
      <c r="N180" s="56">
        <v>1</v>
      </c>
      <c r="O180" s="54">
        <v>40</v>
      </c>
      <c r="P180" s="55">
        <v>-20</v>
      </c>
    </row>
    <row r="181" spans="2:16" x14ac:dyDescent="0.3">
      <c r="B181" s="51" t="s">
        <v>324</v>
      </c>
      <c r="C181" s="51" t="s">
        <v>142</v>
      </c>
      <c r="D181" s="53" t="s">
        <v>345</v>
      </c>
      <c r="E181" s="53" t="s">
        <v>4</v>
      </c>
      <c r="F181" s="53">
        <v>1</v>
      </c>
      <c r="G181" s="54">
        <v>4</v>
      </c>
      <c r="H181" s="54">
        <v>2</v>
      </c>
      <c r="I181" s="54">
        <v>0</v>
      </c>
      <c r="J181" s="54">
        <v>0</v>
      </c>
      <c r="K181" s="54">
        <v>4</v>
      </c>
      <c r="L181" s="55">
        <v>2</v>
      </c>
      <c r="M181" s="56">
        <v>0</v>
      </c>
      <c r="N181" s="56">
        <v>0</v>
      </c>
      <c r="O181" s="54">
        <v>0</v>
      </c>
      <c r="P181" s="55">
        <v>160</v>
      </c>
    </row>
    <row r="182" spans="2:16" x14ac:dyDescent="0.3">
      <c r="B182" s="51" t="s">
        <v>424</v>
      </c>
      <c r="C182" s="51" t="s">
        <v>408</v>
      </c>
      <c r="D182" s="53" t="s">
        <v>484</v>
      </c>
      <c r="E182" s="53" t="s">
        <v>4</v>
      </c>
      <c r="F182" s="53">
        <v>1</v>
      </c>
      <c r="G182" s="54">
        <v>4</v>
      </c>
      <c r="H182" s="54">
        <v>2</v>
      </c>
      <c r="I182" s="54">
        <v>0</v>
      </c>
      <c r="J182" s="54">
        <v>0</v>
      </c>
      <c r="K182" s="54">
        <v>4</v>
      </c>
      <c r="L182" s="55">
        <v>2</v>
      </c>
      <c r="M182" s="56">
        <v>0</v>
      </c>
      <c r="N182" s="56">
        <v>0</v>
      </c>
      <c r="O182" s="54">
        <v>0</v>
      </c>
      <c r="P182" s="55">
        <v>160</v>
      </c>
    </row>
    <row r="183" spans="2:16" x14ac:dyDescent="0.3">
      <c r="B183" s="51" t="s">
        <v>28</v>
      </c>
      <c r="C183" s="51" t="s">
        <v>7</v>
      </c>
      <c r="D183" s="53" t="s">
        <v>359</v>
      </c>
      <c r="E183" s="53" t="s">
        <v>11</v>
      </c>
      <c r="F183" s="53">
        <v>2</v>
      </c>
      <c r="G183" s="54">
        <v>16</v>
      </c>
      <c r="H183" s="54">
        <v>16</v>
      </c>
      <c r="I183" s="54">
        <v>1</v>
      </c>
      <c r="J183" s="54">
        <v>7</v>
      </c>
      <c r="K183" s="54">
        <v>15</v>
      </c>
      <c r="L183" s="55">
        <v>9</v>
      </c>
      <c r="M183" s="56">
        <v>6.25E-2</v>
      </c>
      <c r="N183" s="56">
        <v>0.4375</v>
      </c>
      <c r="O183" s="54">
        <v>140</v>
      </c>
      <c r="P183" s="55">
        <v>660</v>
      </c>
    </row>
    <row r="184" spans="2:16" x14ac:dyDescent="0.3">
      <c r="B184" s="51" t="s">
        <v>22</v>
      </c>
      <c r="C184" s="51" t="s">
        <v>7</v>
      </c>
      <c r="D184" s="53" t="s">
        <v>341</v>
      </c>
      <c r="E184" s="53" t="s">
        <v>18</v>
      </c>
      <c r="F184" s="53">
        <v>2</v>
      </c>
      <c r="G184" s="54">
        <v>12</v>
      </c>
      <c r="H184" s="54">
        <v>12</v>
      </c>
      <c r="I184" s="54">
        <v>10</v>
      </c>
      <c r="J184" s="59">
        <v>4</v>
      </c>
      <c r="K184" s="54">
        <v>2</v>
      </c>
      <c r="L184" s="55">
        <v>8</v>
      </c>
      <c r="M184" s="56">
        <v>0.83333333333333337</v>
      </c>
      <c r="N184" s="56">
        <v>0.33333333333333331</v>
      </c>
      <c r="O184" s="54">
        <v>240</v>
      </c>
      <c r="P184" s="55">
        <v>360</v>
      </c>
    </row>
    <row r="185" spans="2:16" x14ac:dyDescent="0.3">
      <c r="B185" s="51" t="s">
        <v>299</v>
      </c>
      <c r="C185" s="51" t="s">
        <v>10</v>
      </c>
      <c r="D185" s="53" t="s">
        <v>351</v>
      </c>
      <c r="E185" s="53" t="s">
        <v>4</v>
      </c>
      <c r="F185" s="53">
        <v>1</v>
      </c>
      <c r="G185" s="54">
        <v>4</v>
      </c>
      <c r="H185" s="54">
        <v>2</v>
      </c>
      <c r="I185" s="54">
        <v>0</v>
      </c>
      <c r="J185" s="54">
        <v>0</v>
      </c>
      <c r="K185" s="54">
        <v>4</v>
      </c>
      <c r="L185" s="55">
        <v>2</v>
      </c>
      <c r="M185" s="56">
        <v>0</v>
      </c>
      <c r="N185" s="56">
        <v>0</v>
      </c>
      <c r="O185" s="54">
        <v>0</v>
      </c>
      <c r="P185" s="55">
        <v>160</v>
      </c>
    </row>
    <row r="186" spans="2:16" x14ac:dyDescent="0.3">
      <c r="B186" s="51" t="s">
        <v>393</v>
      </c>
      <c r="C186" s="51" t="s">
        <v>46</v>
      </c>
      <c r="D186" s="53" t="s">
        <v>485</v>
      </c>
      <c r="E186" s="53" t="s">
        <v>4</v>
      </c>
      <c r="F186" s="53">
        <v>1</v>
      </c>
      <c r="G186" s="54">
        <v>4</v>
      </c>
      <c r="H186" s="54">
        <v>2</v>
      </c>
      <c r="I186" s="54">
        <v>0</v>
      </c>
      <c r="J186" s="54">
        <v>0</v>
      </c>
      <c r="K186" s="54">
        <v>4</v>
      </c>
      <c r="L186" s="55">
        <v>2</v>
      </c>
      <c r="M186" s="56">
        <v>0</v>
      </c>
      <c r="N186" s="56">
        <v>0</v>
      </c>
      <c r="O186" s="54">
        <v>0</v>
      </c>
      <c r="P186" s="55">
        <v>160</v>
      </c>
    </row>
    <row r="187" spans="2:16" x14ac:dyDescent="0.3">
      <c r="B187" s="51" t="s">
        <v>291</v>
      </c>
      <c r="C187" s="51" t="s">
        <v>46</v>
      </c>
      <c r="D187" s="53" t="s">
        <v>353</v>
      </c>
      <c r="E187" s="53" t="s">
        <v>4</v>
      </c>
      <c r="F187" s="53">
        <v>1</v>
      </c>
      <c r="G187" s="54">
        <v>4</v>
      </c>
      <c r="H187" s="54">
        <v>2</v>
      </c>
      <c r="I187" s="54">
        <v>0</v>
      </c>
      <c r="J187" s="54">
        <v>0</v>
      </c>
      <c r="K187" s="54">
        <v>4</v>
      </c>
      <c r="L187" s="55">
        <v>2</v>
      </c>
      <c r="M187" s="56">
        <v>0</v>
      </c>
      <c r="N187" s="56">
        <v>0</v>
      </c>
      <c r="O187" s="54">
        <v>0</v>
      </c>
      <c r="P187" s="55">
        <v>160</v>
      </c>
    </row>
    <row r="188" spans="2:16" x14ac:dyDescent="0.3">
      <c r="B188" s="51" t="s">
        <v>309</v>
      </c>
      <c r="C188" s="51" t="s">
        <v>46</v>
      </c>
      <c r="D188" s="53" t="s">
        <v>315</v>
      </c>
      <c r="E188" s="53" t="s">
        <v>4</v>
      </c>
      <c r="F188" s="53">
        <v>1</v>
      </c>
      <c r="G188" s="54">
        <v>4</v>
      </c>
      <c r="H188" s="54">
        <v>2</v>
      </c>
      <c r="I188" s="54">
        <v>0</v>
      </c>
      <c r="J188" s="54">
        <v>0</v>
      </c>
      <c r="K188" s="54">
        <v>4</v>
      </c>
      <c r="L188" s="55">
        <v>2</v>
      </c>
      <c r="M188" s="56">
        <v>0</v>
      </c>
      <c r="N188" s="56">
        <v>0</v>
      </c>
      <c r="O188" s="54">
        <v>0</v>
      </c>
      <c r="P188" s="55">
        <v>160</v>
      </c>
    </row>
    <row r="189" spans="2:16" x14ac:dyDescent="0.3">
      <c r="B189" s="51" t="s">
        <v>387</v>
      </c>
      <c r="C189" s="51" t="s">
        <v>46</v>
      </c>
      <c r="D189" s="53" t="s">
        <v>331</v>
      </c>
      <c r="E189" s="53" t="s">
        <v>4</v>
      </c>
      <c r="F189" s="53">
        <v>1</v>
      </c>
      <c r="G189" s="54">
        <v>4</v>
      </c>
      <c r="H189" s="54">
        <v>2</v>
      </c>
      <c r="I189" s="54">
        <v>0</v>
      </c>
      <c r="J189" s="54">
        <v>0</v>
      </c>
      <c r="K189" s="54">
        <v>4</v>
      </c>
      <c r="L189" s="55">
        <v>2</v>
      </c>
      <c r="M189" s="56">
        <v>0</v>
      </c>
      <c r="N189" s="56">
        <v>0</v>
      </c>
      <c r="O189" s="54">
        <v>0</v>
      </c>
      <c r="P189" s="55">
        <v>160</v>
      </c>
    </row>
    <row r="190" spans="2:16" x14ac:dyDescent="0.3">
      <c r="B190" s="51" t="s">
        <v>406</v>
      </c>
      <c r="C190" s="51" t="s">
        <v>39</v>
      </c>
      <c r="D190" s="53" t="s">
        <v>486</v>
      </c>
      <c r="E190" s="53" t="s">
        <v>4</v>
      </c>
      <c r="F190" s="53">
        <v>1</v>
      </c>
      <c r="G190" s="54">
        <v>4</v>
      </c>
      <c r="H190" s="54">
        <v>2</v>
      </c>
      <c r="I190" s="54">
        <v>0</v>
      </c>
      <c r="J190" s="54">
        <v>0</v>
      </c>
      <c r="K190" s="54">
        <v>4</v>
      </c>
      <c r="L190" s="55">
        <v>2</v>
      </c>
      <c r="M190" s="56">
        <v>0</v>
      </c>
      <c r="N190" s="56">
        <v>0</v>
      </c>
      <c r="O190" s="54">
        <v>0</v>
      </c>
      <c r="P190" s="55">
        <v>160</v>
      </c>
    </row>
    <row r="191" spans="2:16" x14ac:dyDescent="0.3">
      <c r="B191" s="51" t="s">
        <v>340</v>
      </c>
      <c r="C191" s="51" t="s">
        <v>46</v>
      </c>
      <c r="D191" s="53" t="s">
        <v>347</v>
      </c>
      <c r="E191" s="53" t="s">
        <v>4</v>
      </c>
      <c r="F191" s="53">
        <v>1</v>
      </c>
      <c r="G191" s="54">
        <v>4</v>
      </c>
      <c r="H191" s="54">
        <v>2</v>
      </c>
      <c r="I191" s="54">
        <v>0</v>
      </c>
      <c r="J191" s="54">
        <v>0</v>
      </c>
      <c r="K191" s="54">
        <v>4</v>
      </c>
      <c r="L191" s="55">
        <v>2</v>
      </c>
      <c r="M191" s="56">
        <v>0</v>
      </c>
      <c r="N191" s="56">
        <v>0</v>
      </c>
      <c r="O191" s="54">
        <v>0</v>
      </c>
      <c r="P191" s="55">
        <v>160</v>
      </c>
    </row>
    <row r="192" spans="2:16" x14ac:dyDescent="0.3">
      <c r="B192" s="51" t="s">
        <v>153</v>
      </c>
      <c r="C192" s="51" t="s">
        <v>46</v>
      </c>
      <c r="D192" s="53" t="s">
        <v>323</v>
      </c>
      <c r="E192" s="53" t="s">
        <v>4</v>
      </c>
      <c r="F192" s="53">
        <v>1</v>
      </c>
      <c r="G192" s="54">
        <v>4</v>
      </c>
      <c r="H192" s="54">
        <v>2</v>
      </c>
      <c r="I192" s="54">
        <v>0</v>
      </c>
      <c r="J192" s="54">
        <v>0</v>
      </c>
      <c r="K192" s="54">
        <v>4</v>
      </c>
      <c r="L192" s="55">
        <v>2</v>
      </c>
      <c r="M192" s="56">
        <v>0</v>
      </c>
      <c r="N192" s="56">
        <v>0</v>
      </c>
      <c r="O192" s="54">
        <v>0</v>
      </c>
      <c r="P192" s="55">
        <v>160</v>
      </c>
    </row>
    <row r="193" spans="2:16" x14ac:dyDescent="0.3">
      <c r="B193" s="51" t="s">
        <v>161</v>
      </c>
      <c r="C193" s="51" t="s">
        <v>10</v>
      </c>
      <c r="D193" s="53" t="s">
        <v>339</v>
      </c>
      <c r="E193" s="53" t="s">
        <v>4</v>
      </c>
      <c r="F193" s="53">
        <v>2</v>
      </c>
      <c r="G193" s="54">
        <v>8</v>
      </c>
      <c r="H193" s="54">
        <v>4</v>
      </c>
      <c r="I193" s="54">
        <v>2</v>
      </c>
      <c r="J193" s="54">
        <v>0</v>
      </c>
      <c r="K193" s="54">
        <v>6</v>
      </c>
      <c r="L193" s="55">
        <v>4</v>
      </c>
      <c r="M193" s="56">
        <v>0.25</v>
      </c>
      <c r="N193" s="56">
        <v>0</v>
      </c>
      <c r="O193" s="54">
        <v>0</v>
      </c>
      <c r="P193" s="55">
        <v>280</v>
      </c>
    </row>
    <row r="194" spans="2:16" x14ac:dyDescent="0.3">
      <c r="B194" s="51" t="s">
        <v>85</v>
      </c>
      <c r="C194" s="51" t="s">
        <v>3</v>
      </c>
      <c r="D194" s="53" t="s">
        <v>319</v>
      </c>
      <c r="E194" s="53" t="s">
        <v>4</v>
      </c>
      <c r="F194" s="53">
        <v>1</v>
      </c>
      <c r="G194" s="54">
        <v>4</v>
      </c>
      <c r="H194" s="54">
        <v>2</v>
      </c>
      <c r="I194" s="54">
        <v>0</v>
      </c>
      <c r="J194" s="54">
        <v>0</v>
      </c>
      <c r="K194" s="54">
        <v>4</v>
      </c>
      <c r="L194" s="55">
        <v>2</v>
      </c>
      <c r="M194" s="56">
        <v>0</v>
      </c>
      <c r="N194" s="56">
        <v>0</v>
      </c>
      <c r="O194" s="54">
        <v>0</v>
      </c>
      <c r="P194" s="55">
        <v>160</v>
      </c>
    </row>
    <row r="195" spans="2:16" x14ac:dyDescent="0.3">
      <c r="B195" s="51" t="s">
        <v>418</v>
      </c>
      <c r="C195" s="51" t="s">
        <v>408</v>
      </c>
      <c r="D195" s="53" t="s">
        <v>487</v>
      </c>
      <c r="E195" s="53" t="s">
        <v>4</v>
      </c>
      <c r="F195" s="53">
        <v>1</v>
      </c>
      <c r="G195" s="54">
        <v>4</v>
      </c>
      <c r="H195" s="54">
        <v>2</v>
      </c>
      <c r="I195" s="54">
        <v>2</v>
      </c>
      <c r="J195" s="54">
        <v>0</v>
      </c>
      <c r="K195" s="54">
        <v>2</v>
      </c>
      <c r="L195" s="55">
        <v>2</v>
      </c>
      <c r="M195" s="56">
        <v>0.5</v>
      </c>
      <c r="N195" s="56">
        <v>0</v>
      </c>
      <c r="O195" s="54">
        <v>0</v>
      </c>
      <c r="P195" s="55">
        <v>120</v>
      </c>
    </row>
    <row r="196" spans="2:16" x14ac:dyDescent="0.3">
      <c r="B196" s="51" t="s">
        <v>307</v>
      </c>
      <c r="C196" s="51" t="s">
        <v>10</v>
      </c>
      <c r="D196" s="53" t="s">
        <v>329</v>
      </c>
      <c r="E196" s="53" t="s">
        <v>4</v>
      </c>
      <c r="F196" s="53">
        <v>1</v>
      </c>
      <c r="G196" s="54">
        <v>4</v>
      </c>
      <c r="H196" s="54">
        <v>2</v>
      </c>
      <c r="I196" s="54">
        <v>0</v>
      </c>
      <c r="J196" s="54">
        <v>0</v>
      </c>
      <c r="K196" s="54">
        <v>4</v>
      </c>
      <c r="L196" s="55">
        <v>2</v>
      </c>
      <c r="M196" s="56">
        <v>0</v>
      </c>
      <c r="N196" s="56">
        <v>0</v>
      </c>
      <c r="O196" s="54">
        <v>0</v>
      </c>
      <c r="P196" s="55">
        <v>160</v>
      </c>
    </row>
    <row r="197" spans="2:16" x14ac:dyDescent="0.3">
      <c r="B197" s="51" t="s">
        <v>371</v>
      </c>
      <c r="C197" s="51" t="s">
        <v>17</v>
      </c>
      <c r="D197" s="53" t="s">
        <v>349</v>
      </c>
      <c r="E197" s="53" t="s">
        <v>4</v>
      </c>
      <c r="F197" s="53">
        <v>1</v>
      </c>
      <c r="G197" s="54">
        <v>4</v>
      </c>
      <c r="H197" s="54">
        <v>2</v>
      </c>
      <c r="I197" s="54">
        <v>2</v>
      </c>
      <c r="J197" s="54">
        <v>0</v>
      </c>
      <c r="K197" s="54">
        <v>2</v>
      </c>
      <c r="L197" s="55">
        <v>2</v>
      </c>
      <c r="M197" s="56">
        <v>0.5</v>
      </c>
      <c r="N197" s="56">
        <v>0</v>
      </c>
      <c r="O197" s="54">
        <v>0</v>
      </c>
      <c r="P197" s="55">
        <v>120</v>
      </c>
    </row>
    <row r="198" spans="2:16" x14ac:dyDescent="0.3">
      <c r="B198" s="51" t="s">
        <v>316</v>
      </c>
      <c r="C198" s="51" t="s">
        <v>17</v>
      </c>
      <c r="D198" s="53" t="s">
        <v>325</v>
      </c>
      <c r="E198" s="53" t="s">
        <v>4</v>
      </c>
      <c r="F198" s="53">
        <v>1</v>
      </c>
      <c r="G198" s="54">
        <v>4</v>
      </c>
      <c r="H198" s="54">
        <v>2</v>
      </c>
      <c r="I198" s="54">
        <v>2</v>
      </c>
      <c r="J198" s="54">
        <v>2</v>
      </c>
      <c r="K198" s="54">
        <v>2</v>
      </c>
      <c r="L198" s="55">
        <v>0</v>
      </c>
      <c r="M198" s="56">
        <v>0.5</v>
      </c>
      <c r="N198" s="56">
        <v>1</v>
      </c>
      <c r="O198" s="54">
        <v>0</v>
      </c>
      <c r="P198" s="55">
        <v>40</v>
      </c>
    </row>
    <row r="199" spans="2:16" x14ac:dyDescent="0.3">
      <c r="B199" s="51" t="s">
        <v>363</v>
      </c>
      <c r="C199" s="51" t="s">
        <v>17</v>
      </c>
      <c r="D199" s="53" t="s">
        <v>384</v>
      </c>
      <c r="E199" s="53" t="s">
        <v>4</v>
      </c>
      <c r="F199" s="53">
        <v>1</v>
      </c>
      <c r="G199" s="54">
        <v>4</v>
      </c>
      <c r="H199" s="54">
        <v>2</v>
      </c>
      <c r="I199" s="54">
        <v>2</v>
      </c>
      <c r="J199" s="54">
        <v>2</v>
      </c>
      <c r="K199" s="54">
        <v>2</v>
      </c>
      <c r="L199" s="55">
        <v>0</v>
      </c>
      <c r="M199" s="56">
        <v>0.5</v>
      </c>
      <c r="N199" s="56">
        <v>1</v>
      </c>
      <c r="O199" s="54">
        <v>0</v>
      </c>
      <c r="P199" s="55">
        <v>40</v>
      </c>
    </row>
    <row r="200" spans="2:16" x14ac:dyDescent="0.3">
      <c r="B200" s="51" t="s">
        <v>279</v>
      </c>
      <c r="C200" s="51" t="s">
        <v>10</v>
      </c>
      <c r="D200" s="53" t="s">
        <v>360</v>
      </c>
      <c r="E200" s="53" t="s">
        <v>4</v>
      </c>
      <c r="F200" s="53">
        <v>1</v>
      </c>
      <c r="G200" s="54">
        <v>4</v>
      </c>
      <c r="H200" s="54">
        <v>2</v>
      </c>
      <c r="I200" s="54">
        <v>0</v>
      </c>
      <c r="J200" s="54">
        <v>0</v>
      </c>
      <c r="K200" s="54">
        <v>4</v>
      </c>
      <c r="L200" s="55">
        <v>2</v>
      </c>
      <c r="M200" s="56">
        <v>0</v>
      </c>
      <c r="N200" s="56">
        <v>0</v>
      </c>
      <c r="O200" s="54">
        <v>0</v>
      </c>
      <c r="P200" s="55">
        <v>160</v>
      </c>
    </row>
    <row r="201" spans="2:16" x14ac:dyDescent="0.3">
      <c r="B201" s="51" t="s">
        <v>129</v>
      </c>
      <c r="C201" s="51" t="s">
        <v>94</v>
      </c>
      <c r="D201" s="53" t="s">
        <v>382</v>
      </c>
      <c r="E201" s="53" t="s">
        <v>4</v>
      </c>
      <c r="F201" s="53">
        <v>1</v>
      </c>
      <c r="G201" s="54">
        <v>4</v>
      </c>
      <c r="H201" s="54">
        <v>2</v>
      </c>
      <c r="I201" s="54">
        <v>0</v>
      </c>
      <c r="J201" s="54">
        <v>0</v>
      </c>
      <c r="K201" s="54">
        <v>4</v>
      </c>
      <c r="L201" s="55">
        <v>2</v>
      </c>
      <c r="M201" s="56">
        <v>0</v>
      </c>
      <c r="N201" s="56">
        <v>0</v>
      </c>
      <c r="O201" s="54">
        <v>0</v>
      </c>
      <c r="P201" s="55">
        <v>160</v>
      </c>
    </row>
    <row r="202" spans="2:16" x14ac:dyDescent="0.3">
      <c r="B202" s="51" t="s">
        <v>277</v>
      </c>
      <c r="C202" s="51" t="s">
        <v>7</v>
      </c>
      <c r="D202" s="53" t="s">
        <v>362</v>
      </c>
      <c r="E202" s="53" t="s">
        <v>4</v>
      </c>
      <c r="F202" s="53">
        <v>1</v>
      </c>
      <c r="G202" s="54">
        <v>4</v>
      </c>
      <c r="H202" s="54">
        <v>2</v>
      </c>
      <c r="I202" s="54">
        <v>0</v>
      </c>
      <c r="J202" s="54">
        <v>0</v>
      </c>
      <c r="K202" s="54">
        <v>4</v>
      </c>
      <c r="L202" s="55">
        <v>2</v>
      </c>
      <c r="M202" s="56">
        <v>0</v>
      </c>
      <c r="N202" s="56">
        <v>0</v>
      </c>
      <c r="O202" s="54">
        <v>0</v>
      </c>
      <c r="P202" s="55">
        <v>160</v>
      </c>
    </row>
    <row r="203" spans="2:16" x14ac:dyDescent="0.3">
      <c r="B203" s="51" t="s">
        <v>402</v>
      </c>
      <c r="C203" s="51" t="s">
        <v>7</v>
      </c>
      <c r="D203" s="53" t="s">
        <v>488</v>
      </c>
      <c r="E203" s="53" t="s">
        <v>4</v>
      </c>
      <c r="F203" s="53">
        <v>1</v>
      </c>
      <c r="G203" s="54">
        <v>4</v>
      </c>
      <c r="H203" s="54">
        <v>2</v>
      </c>
      <c r="I203" s="54">
        <v>0</v>
      </c>
      <c r="J203" s="54">
        <v>0</v>
      </c>
      <c r="K203" s="54">
        <v>4</v>
      </c>
      <c r="L203" s="55">
        <v>2</v>
      </c>
      <c r="M203" s="56">
        <v>0</v>
      </c>
      <c r="N203" s="56">
        <v>0</v>
      </c>
      <c r="O203" s="54">
        <v>0</v>
      </c>
      <c r="P203" s="55">
        <v>160</v>
      </c>
    </row>
    <row r="204" spans="2:16" x14ac:dyDescent="0.3">
      <c r="B204" s="51" t="s">
        <v>206</v>
      </c>
      <c r="C204" s="51" t="s">
        <v>7</v>
      </c>
      <c r="D204" s="53" t="s">
        <v>380</v>
      </c>
      <c r="E204" s="53" t="s">
        <v>4</v>
      </c>
      <c r="F204" s="53">
        <v>2</v>
      </c>
      <c r="G204" s="54">
        <v>8</v>
      </c>
      <c r="H204" s="54">
        <v>4</v>
      </c>
      <c r="I204" s="54">
        <v>1</v>
      </c>
      <c r="J204" s="54">
        <v>0</v>
      </c>
      <c r="K204" s="54">
        <v>7</v>
      </c>
      <c r="L204" s="55">
        <v>4</v>
      </c>
      <c r="M204" s="56">
        <v>0.125</v>
      </c>
      <c r="N204" s="56">
        <v>0</v>
      </c>
      <c r="O204" s="54">
        <v>0</v>
      </c>
      <c r="P204" s="55">
        <v>300</v>
      </c>
    </row>
    <row r="205" spans="2:16" x14ac:dyDescent="0.3">
      <c r="B205" s="51" t="s">
        <v>177</v>
      </c>
      <c r="C205" s="51" t="s">
        <v>7</v>
      </c>
      <c r="D205" s="53" t="s">
        <v>364</v>
      </c>
      <c r="E205" s="53" t="s">
        <v>4</v>
      </c>
      <c r="F205" s="53">
        <v>2</v>
      </c>
      <c r="G205" s="54">
        <v>8</v>
      </c>
      <c r="H205" s="54">
        <v>4</v>
      </c>
      <c r="I205" s="54">
        <v>0</v>
      </c>
      <c r="J205" s="54">
        <v>0</v>
      </c>
      <c r="K205" s="54">
        <v>8</v>
      </c>
      <c r="L205" s="55">
        <v>4</v>
      </c>
      <c r="M205" s="56">
        <v>0</v>
      </c>
      <c r="N205" s="56">
        <v>0</v>
      </c>
      <c r="O205" s="54">
        <v>0</v>
      </c>
      <c r="P205" s="55">
        <v>320</v>
      </c>
    </row>
    <row r="206" spans="2:16" x14ac:dyDescent="0.3">
      <c r="B206" s="51" t="s">
        <v>361</v>
      </c>
      <c r="C206" s="51" t="s">
        <v>7</v>
      </c>
      <c r="D206" s="53" t="s">
        <v>378</v>
      </c>
      <c r="E206" s="53" t="s">
        <v>4</v>
      </c>
      <c r="F206" s="53">
        <v>1</v>
      </c>
      <c r="G206" s="54">
        <v>4</v>
      </c>
      <c r="H206" s="54">
        <v>2</v>
      </c>
      <c r="I206" s="54">
        <v>1</v>
      </c>
      <c r="J206" s="54">
        <v>0</v>
      </c>
      <c r="K206" s="54">
        <v>3</v>
      </c>
      <c r="L206" s="55">
        <v>2</v>
      </c>
      <c r="M206" s="56">
        <v>0.25</v>
      </c>
      <c r="N206" s="56">
        <v>0</v>
      </c>
      <c r="O206" s="54">
        <v>0</v>
      </c>
      <c r="P206" s="55">
        <v>140</v>
      </c>
    </row>
    <row r="207" spans="2:16" x14ac:dyDescent="0.3">
      <c r="B207" s="51" t="s">
        <v>383</v>
      </c>
      <c r="C207" s="51" t="s">
        <v>180</v>
      </c>
      <c r="D207" s="53" t="s">
        <v>374</v>
      </c>
      <c r="E207" s="53" t="s">
        <v>4</v>
      </c>
      <c r="F207" s="53">
        <v>1</v>
      </c>
      <c r="G207" s="54">
        <v>4</v>
      </c>
      <c r="H207" s="54">
        <v>2</v>
      </c>
      <c r="I207" s="54">
        <v>0</v>
      </c>
      <c r="J207" s="54">
        <v>0</v>
      </c>
      <c r="K207" s="54">
        <v>4</v>
      </c>
      <c r="L207" s="55">
        <v>2</v>
      </c>
      <c r="M207" s="56">
        <v>0</v>
      </c>
      <c r="N207" s="56">
        <v>0</v>
      </c>
      <c r="O207" s="54">
        <v>0</v>
      </c>
      <c r="P207" s="55">
        <v>160</v>
      </c>
    </row>
    <row r="208" spans="2:16" x14ac:dyDescent="0.3">
      <c r="B208" s="51" t="s">
        <v>287</v>
      </c>
      <c r="C208" s="51" t="s">
        <v>39</v>
      </c>
      <c r="D208" s="53" t="s">
        <v>386</v>
      </c>
      <c r="E208" s="53" t="s">
        <v>4</v>
      </c>
      <c r="F208" s="53">
        <v>1</v>
      </c>
      <c r="G208" s="54">
        <v>4</v>
      </c>
      <c r="H208" s="54">
        <v>2</v>
      </c>
      <c r="I208" s="54">
        <v>0</v>
      </c>
      <c r="J208" s="54">
        <v>0</v>
      </c>
      <c r="K208" s="54">
        <v>4</v>
      </c>
      <c r="L208" s="55">
        <v>2</v>
      </c>
      <c r="M208" s="56">
        <v>0</v>
      </c>
      <c r="N208" s="56">
        <v>0</v>
      </c>
      <c r="O208" s="54">
        <v>0</v>
      </c>
      <c r="P208" s="55">
        <v>160</v>
      </c>
    </row>
    <row r="209" spans="2:16" x14ac:dyDescent="0.3">
      <c r="B209" s="51" t="s">
        <v>228</v>
      </c>
      <c r="C209" s="51" t="s">
        <v>39</v>
      </c>
      <c r="D209" s="53" t="s">
        <v>489</v>
      </c>
      <c r="E209" s="53" t="s">
        <v>4</v>
      </c>
      <c r="F209" s="53">
        <v>1</v>
      </c>
      <c r="G209" s="54">
        <v>4</v>
      </c>
      <c r="H209" s="54">
        <v>2</v>
      </c>
      <c r="I209" s="54">
        <v>0</v>
      </c>
      <c r="J209" s="54">
        <v>0</v>
      </c>
      <c r="K209" s="54">
        <v>4</v>
      </c>
      <c r="L209" s="55">
        <v>2</v>
      </c>
      <c r="M209" s="56">
        <v>0</v>
      </c>
      <c r="N209" s="56">
        <v>0</v>
      </c>
      <c r="O209" s="54">
        <v>0</v>
      </c>
      <c r="P209" s="55">
        <v>160</v>
      </c>
    </row>
    <row r="210" spans="2:16" x14ac:dyDescent="0.3">
      <c r="B210" s="51" t="s">
        <v>6</v>
      </c>
      <c r="C210" s="51" t="s">
        <v>7</v>
      </c>
      <c r="D210" s="53" t="s">
        <v>370</v>
      </c>
      <c r="E210" s="53" t="s">
        <v>4</v>
      </c>
      <c r="F210" s="53">
        <v>1</v>
      </c>
      <c r="G210" s="54">
        <v>4</v>
      </c>
      <c r="H210" s="54">
        <v>2</v>
      </c>
      <c r="I210" s="54">
        <v>3</v>
      </c>
      <c r="J210" s="54">
        <v>0</v>
      </c>
      <c r="K210" s="54">
        <v>1</v>
      </c>
      <c r="L210" s="55">
        <v>2</v>
      </c>
      <c r="M210" s="56">
        <v>0.75</v>
      </c>
      <c r="N210" s="56">
        <v>0</v>
      </c>
      <c r="O210" s="54">
        <v>0</v>
      </c>
      <c r="P210" s="55">
        <v>100</v>
      </c>
    </row>
    <row r="211" spans="2:16" x14ac:dyDescent="0.3">
      <c r="B211" s="51" t="s">
        <v>9</v>
      </c>
      <c r="C211" s="51" t="s">
        <v>10</v>
      </c>
      <c r="D211" s="53" t="s">
        <v>392</v>
      </c>
      <c r="E211" s="53" t="s">
        <v>11</v>
      </c>
      <c r="F211" s="53">
        <v>2</v>
      </c>
      <c r="G211" s="54">
        <v>16</v>
      </c>
      <c r="H211" s="54">
        <v>16</v>
      </c>
      <c r="I211" s="54">
        <v>23</v>
      </c>
      <c r="J211" s="54">
        <v>9</v>
      </c>
      <c r="K211" s="54">
        <v>-7</v>
      </c>
      <c r="L211" s="55">
        <v>7</v>
      </c>
      <c r="M211" s="56">
        <v>1.4375</v>
      </c>
      <c r="N211" s="56">
        <v>0.5625</v>
      </c>
      <c r="O211" s="54">
        <v>728</v>
      </c>
      <c r="P211" s="55">
        <v>140</v>
      </c>
    </row>
    <row r="212" spans="2:16" x14ac:dyDescent="0.3">
      <c r="B212" s="51" t="s">
        <v>117</v>
      </c>
      <c r="C212" s="51" t="s">
        <v>10</v>
      </c>
      <c r="D212" s="53" t="s">
        <v>388</v>
      </c>
      <c r="E212" s="53" t="s">
        <v>11</v>
      </c>
      <c r="F212" s="53">
        <v>2</v>
      </c>
      <c r="G212" s="54">
        <v>16</v>
      </c>
      <c r="H212" s="54">
        <v>16</v>
      </c>
      <c r="I212" s="54">
        <v>3</v>
      </c>
      <c r="J212" s="54">
        <v>0</v>
      </c>
      <c r="K212" s="54">
        <v>13</v>
      </c>
      <c r="L212" s="55">
        <v>16</v>
      </c>
      <c r="M212" s="56">
        <v>0.1875</v>
      </c>
      <c r="N212" s="56">
        <v>0</v>
      </c>
      <c r="O212" s="54">
        <v>0</v>
      </c>
      <c r="P212" s="55">
        <v>900</v>
      </c>
    </row>
    <row r="213" spans="2:16" x14ac:dyDescent="0.3">
      <c r="B213" s="51" t="s">
        <v>83</v>
      </c>
      <c r="C213" s="51" t="s">
        <v>7</v>
      </c>
      <c r="D213" s="53" t="s">
        <v>490</v>
      </c>
      <c r="E213" s="53" t="s">
        <v>11</v>
      </c>
      <c r="F213" s="53">
        <v>2</v>
      </c>
      <c r="G213" s="54">
        <v>16</v>
      </c>
      <c r="H213" s="54">
        <v>16</v>
      </c>
      <c r="I213" s="54">
        <v>10</v>
      </c>
      <c r="J213" s="54">
        <v>12</v>
      </c>
      <c r="K213" s="54">
        <v>6</v>
      </c>
      <c r="L213" s="55">
        <v>4</v>
      </c>
      <c r="M213" s="56">
        <v>0.625</v>
      </c>
      <c r="N213" s="56">
        <v>0.75</v>
      </c>
      <c r="O213" s="54">
        <v>480</v>
      </c>
      <c r="P213" s="55">
        <v>280</v>
      </c>
    </row>
    <row r="214" spans="2:16" x14ac:dyDescent="0.3">
      <c r="B214" s="51" t="s">
        <v>264</v>
      </c>
      <c r="C214" s="51" t="s">
        <v>7</v>
      </c>
      <c r="D214" s="53" t="s">
        <v>366</v>
      </c>
      <c r="E214" s="53" t="s">
        <v>4</v>
      </c>
      <c r="F214" s="53">
        <v>1</v>
      </c>
      <c r="G214" s="54">
        <v>4</v>
      </c>
      <c r="H214" s="54">
        <v>2</v>
      </c>
      <c r="I214" s="54">
        <v>2</v>
      </c>
      <c r="J214" s="54">
        <v>2</v>
      </c>
      <c r="K214" s="54">
        <v>2</v>
      </c>
      <c r="L214" s="55">
        <v>0</v>
      </c>
      <c r="M214" s="56">
        <v>0.5</v>
      </c>
      <c r="N214" s="56">
        <v>1</v>
      </c>
      <c r="O214" s="54">
        <v>80</v>
      </c>
      <c r="P214" s="55">
        <v>40</v>
      </c>
    </row>
    <row r="215" spans="2:16" x14ac:dyDescent="0.3">
      <c r="B215" s="51" t="s">
        <v>391</v>
      </c>
      <c r="C215" s="51" t="s">
        <v>142</v>
      </c>
      <c r="D215" s="53" t="s">
        <v>372</v>
      </c>
      <c r="E215" s="53" t="s">
        <v>4</v>
      </c>
      <c r="F215" s="53">
        <v>1</v>
      </c>
      <c r="G215" s="54">
        <v>4</v>
      </c>
      <c r="H215" s="54">
        <v>2</v>
      </c>
      <c r="I215" s="54">
        <v>0</v>
      </c>
      <c r="J215" s="54">
        <v>0</v>
      </c>
      <c r="K215" s="54">
        <v>4</v>
      </c>
      <c r="L215" s="55">
        <v>2</v>
      </c>
      <c r="M215" s="56">
        <v>0</v>
      </c>
      <c r="N215" s="56">
        <v>0</v>
      </c>
      <c r="O215" s="54">
        <v>0</v>
      </c>
      <c r="P215" s="55">
        <v>160</v>
      </c>
    </row>
    <row r="216" spans="2:16" x14ac:dyDescent="0.3">
      <c r="B216" s="51" t="s">
        <v>330</v>
      </c>
      <c r="C216" s="51" t="s">
        <v>180</v>
      </c>
      <c r="D216" s="53" t="s">
        <v>396</v>
      </c>
      <c r="E216" s="53" t="s">
        <v>4</v>
      </c>
      <c r="F216" s="53">
        <v>1</v>
      </c>
      <c r="G216" s="54">
        <v>4</v>
      </c>
      <c r="H216" s="54">
        <v>2</v>
      </c>
      <c r="I216" s="54">
        <v>0</v>
      </c>
      <c r="J216" s="54">
        <v>0</v>
      </c>
      <c r="K216" s="54">
        <v>4</v>
      </c>
      <c r="L216" s="55">
        <v>2</v>
      </c>
      <c r="M216" s="56">
        <v>0</v>
      </c>
      <c r="N216" s="56">
        <v>0</v>
      </c>
      <c r="O216" s="54">
        <v>0</v>
      </c>
      <c r="P216" s="55">
        <v>160</v>
      </c>
    </row>
    <row r="217" spans="2:16" x14ac:dyDescent="0.3">
      <c r="B217" s="51" t="s">
        <v>411</v>
      </c>
      <c r="C217" s="51" t="s">
        <v>142</v>
      </c>
      <c r="D217" s="53" t="s">
        <v>491</v>
      </c>
      <c r="E217" s="53" t="s">
        <v>4</v>
      </c>
      <c r="F217" s="53">
        <v>1</v>
      </c>
      <c r="G217" s="54">
        <v>4</v>
      </c>
      <c r="H217" s="54">
        <v>2</v>
      </c>
      <c r="I217" s="54">
        <v>0</v>
      </c>
      <c r="J217" s="54">
        <v>0</v>
      </c>
      <c r="K217" s="54">
        <v>4</v>
      </c>
      <c r="L217" s="55">
        <v>2</v>
      </c>
      <c r="M217" s="56">
        <v>0</v>
      </c>
      <c r="N217" s="56">
        <v>0</v>
      </c>
      <c r="O217" s="54">
        <v>0</v>
      </c>
      <c r="P217" s="55">
        <v>160</v>
      </c>
    </row>
    <row r="218" spans="2:16" x14ac:dyDescent="0.3">
      <c r="B218" s="51" t="s">
        <v>238</v>
      </c>
      <c r="C218" s="51" t="s">
        <v>142</v>
      </c>
      <c r="D218" s="53" t="s">
        <v>398</v>
      </c>
      <c r="E218" s="53" t="s">
        <v>4</v>
      </c>
      <c r="F218" s="53">
        <v>1</v>
      </c>
      <c r="G218" s="54">
        <v>4</v>
      </c>
      <c r="H218" s="54">
        <v>2</v>
      </c>
      <c r="I218" s="54">
        <v>0</v>
      </c>
      <c r="J218" s="54">
        <v>0</v>
      </c>
      <c r="K218" s="54">
        <v>4</v>
      </c>
      <c r="L218" s="55">
        <v>2</v>
      </c>
      <c r="M218" s="56">
        <v>0</v>
      </c>
      <c r="N218" s="56">
        <v>0</v>
      </c>
      <c r="O218" s="54">
        <v>0</v>
      </c>
      <c r="P218" s="55">
        <v>160</v>
      </c>
    </row>
    <row r="219" spans="2:16" x14ac:dyDescent="0.3">
      <c r="B219" s="51" t="s">
        <v>305</v>
      </c>
      <c r="C219" s="51" t="s">
        <v>142</v>
      </c>
      <c r="D219" s="53" t="s">
        <v>400</v>
      </c>
      <c r="E219" s="53" t="s">
        <v>4</v>
      </c>
      <c r="F219" s="53">
        <v>1</v>
      </c>
      <c r="G219" s="54">
        <v>4</v>
      </c>
      <c r="H219" s="54">
        <v>2</v>
      </c>
      <c r="I219" s="54">
        <v>0</v>
      </c>
      <c r="J219" s="54">
        <v>0</v>
      </c>
      <c r="K219" s="54">
        <v>4</v>
      </c>
      <c r="L219" s="55">
        <v>2</v>
      </c>
      <c r="M219" s="56">
        <v>0</v>
      </c>
      <c r="N219" s="56">
        <v>0</v>
      </c>
      <c r="O219" s="54">
        <v>0</v>
      </c>
      <c r="P219" s="55">
        <v>160</v>
      </c>
    </row>
    <row r="220" spans="2:16" x14ac:dyDescent="0.3">
      <c r="B220" s="51" t="s">
        <v>289</v>
      </c>
      <c r="C220" s="51" t="s">
        <v>14</v>
      </c>
      <c r="D220" s="53" t="s">
        <v>492</v>
      </c>
      <c r="E220" s="53" t="s">
        <v>4</v>
      </c>
      <c r="F220" s="53">
        <v>1</v>
      </c>
      <c r="G220" s="54">
        <v>4</v>
      </c>
      <c r="H220" s="54">
        <v>2</v>
      </c>
      <c r="I220" s="54">
        <v>0</v>
      </c>
      <c r="J220" s="54">
        <v>0</v>
      </c>
      <c r="K220" s="54">
        <v>4</v>
      </c>
      <c r="L220" s="55">
        <v>2</v>
      </c>
      <c r="M220" s="56">
        <v>0</v>
      </c>
      <c r="N220" s="56">
        <v>0</v>
      </c>
      <c r="O220" s="54">
        <v>0</v>
      </c>
      <c r="P220" s="55">
        <v>160</v>
      </c>
    </row>
    <row r="221" spans="2:16" x14ac:dyDescent="0.3">
      <c r="B221" s="51" t="s">
        <v>427</v>
      </c>
      <c r="C221" s="51" t="s">
        <v>7</v>
      </c>
      <c r="D221" s="53" t="s">
        <v>493</v>
      </c>
      <c r="E221" s="53" t="s">
        <v>11</v>
      </c>
      <c r="F221" s="53">
        <v>1</v>
      </c>
      <c r="G221" s="54">
        <v>8</v>
      </c>
      <c r="H221" s="54">
        <v>8</v>
      </c>
      <c r="I221" s="54">
        <v>1</v>
      </c>
      <c r="J221" s="54">
        <v>3</v>
      </c>
      <c r="K221" s="54">
        <v>7</v>
      </c>
      <c r="L221" s="55">
        <v>5</v>
      </c>
      <c r="M221" s="56">
        <v>0.125</v>
      </c>
      <c r="N221" s="56">
        <v>0.375</v>
      </c>
      <c r="O221" s="54">
        <v>125</v>
      </c>
      <c r="P221" s="55">
        <v>340</v>
      </c>
    </row>
    <row r="222" spans="2:16" x14ac:dyDescent="0.3">
      <c r="B222" s="51" t="s">
        <v>430</v>
      </c>
      <c r="C222" s="51" t="s">
        <v>7</v>
      </c>
      <c r="D222" s="53" t="s">
        <v>494</v>
      </c>
      <c r="E222" s="53" t="s">
        <v>11</v>
      </c>
      <c r="F222" s="53">
        <v>1</v>
      </c>
      <c r="G222" s="54">
        <v>8</v>
      </c>
      <c r="H222" s="54">
        <v>8</v>
      </c>
      <c r="I222" s="54">
        <v>0</v>
      </c>
      <c r="J222" s="54">
        <v>0</v>
      </c>
      <c r="K222" s="54">
        <v>8</v>
      </c>
      <c r="L222" s="55">
        <v>8</v>
      </c>
      <c r="M222" s="56">
        <v>0</v>
      </c>
      <c r="N222" s="56">
        <v>0</v>
      </c>
      <c r="O222" s="54">
        <v>0</v>
      </c>
      <c r="P222" s="55">
        <v>480</v>
      </c>
    </row>
    <row r="223" spans="2:16" x14ac:dyDescent="0.3">
      <c r="B223" s="51" t="s">
        <v>429</v>
      </c>
      <c r="C223" s="51" t="s">
        <v>14</v>
      </c>
      <c r="D223" s="53" t="s">
        <v>495</v>
      </c>
      <c r="E223" s="53" t="s">
        <v>11</v>
      </c>
      <c r="F223" s="53">
        <v>1</v>
      </c>
      <c r="G223" s="54">
        <v>8</v>
      </c>
      <c r="H223" s="54">
        <v>8</v>
      </c>
      <c r="I223" s="54">
        <v>0</v>
      </c>
      <c r="J223" s="54">
        <v>0</v>
      </c>
      <c r="K223" s="54">
        <v>8</v>
      </c>
      <c r="L223" s="55">
        <v>8</v>
      </c>
      <c r="M223" s="56">
        <v>0</v>
      </c>
      <c r="N223" s="56">
        <v>0</v>
      </c>
      <c r="O223" s="54">
        <v>0</v>
      </c>
      <c r="P223" s="55">
        <v>480</v>
      </c>
    </row>
    <row r="224" spans="2:16" x14ac:dyDescent="0.3">
      <c r="B224" s="51" t="s">
        <v>431</v>
      </c>
      <c r="C224" s="51" t="s">
        <v>46</v>
      </c>
      <c r="D224" s="53" t="s">
        <v>496</v>
      </c>
      <c r="E224" s="53" t="s">
        <v>4</v>
      </c>
      <c r="F224" s="53">
        <v>1</v>
      </c>
      <c r="G224" s="54">
        <v>4</v>
      </c>
      <c r="H224" s="54">
        <v>2</v>
      </c>
      <c r="I224" s="54">
        <v>0</v>
      </c>
      <c r="J224" s="54">
        <v>0</v>
      </c>
      <c r="K224" s="54">
        <v>4</v>
      </c>
      <c r="L224" s="55">
        <v>2</v>
      </c>
      <c r="M224" s="56">
        <v>0</v>
      </c>
      <c r="N224" s="56">
        <v>0</v>
      </c>
      <c r="O224" s="54">
        <v>0</v>
      </c>
      <c r="P224" s="55">
        <v>160</v>
      </c>
    </row>
    <row r="225" spans="2:16" x14ac:dyDescent="0.3">
      <c r="B225" s="51" t="s">
        <v>433</v>
      </c>
      <c r="C225" s="51" t="s">
        <v>14</v>
      </c>
      <c r="D225" s="53" t="s">
        <v>497</v>
      </c>
      <c r="E225" s="53" t="s">
        <v>4</v>
      </c>
      <c r="F225" s="53">
        <v>1</v>
      </c>
      <c r="G225" s="54">
        <v>4</v>
      </c>
      <c r="H225" s="54">
        <v>2</v>
      </c>
      <c r="I225" s="54">
        <v>0</v>
      </c>
      <c r="J225" s="54">
        <v>0</v>
      </c>
      <c r="K225" s="54">
        <v>4</v>
      </c>
      <c r="L225" s="55">
        <v>2</v>
      </c>
      <c r="M225" s="56">
        <v>0</v>
      </c>
      <c r="N225" s="56">
        <v>0</v>
      </c>
      <c r="O225" s="54">
        <v>0</v>
      </c>
      <c r="P225" s="55">
        <v>160</v>
      </c>
    </row>
    <row r="226" spans="2:16" x14ac:dyDescent="0.3">
      <c r="B226" s="51" t="s">
        <v>453</v>
      </c>
      <c r="C226" s="51" t="s">
        <v>14</v>
      </c>
      <c r="D226" s="53" t="s">
        <v>498</v>
      </c>
      <c r="E226" s="53" t="s">
        <v>11</v>
      </c>
      <c r="F226" s="53">
        <v>1</v>
      </c>
      <c r="G226" s="54">
        <v>8</v>
      </c>
      <c r="H226" s="54">
        <v>8</v>
      </c>
      <c r="I226" s="54">
        <v>3</v>
      </c>
      <c r="J226" s="54">
        <v>0</v>
      </c>
      <c r="K226" s="54">
        <v>5</v>
      </c>
      <c r="L226" s="55">
        <v>8</v>
      </c>
      <c r="M226" s="56">
        <v>0.375</v>
      </c>
      <c r="N226" s="56">
        <v>0</v>
      </c>
      <c r="O226" s="54">
        <v>0</v>
      </c>
      <c r="P226" s="55">
        <v>420</v>
      </c>
    </row>
    <row r="227" spans="2:16" x14ac:dyDescent="0.3">
      <c r="B227" s="51" t="s">
        <v>434</v>
      </c>
      <c r="C227" s="51" t="s">
        <v>46</v>
      </c>
      <c r="D227" s="53" t="s">
        <v>499</v>
      </c>
      <c r="E227" s="53" t="s">
        <v>11</v>
      </c>
      <c r="F227" s="53">
        <v>1</v>
      </c>
      <c r="G227" s="54">
        <v>8</v>
      </c>
      <c r="H227" s="54">
        <v>8</v>
      </c>
      <c r="I227" s="54">
        <v>0</v>
      </c>
      <c r="J227" s="54">
        <v>0</v>
      </c>
      <c r="K227" s="54">
        <v>8</v>
      </c>
      <c r="L227" s="55">
        <v>8</v>
      </c>
      <c r="M227" s="56">
        <v>0</v>
      </c>
      <c r="N227" s="56">
        <v>0</v>
      </c>
      <c r="O227" s="54">
        <v>0</v>
      </c>
      <c r="P227" s="55">
        <v>480</v>
      </c>
    </row>
    <row r="228" spans="2:16" x14ac:dyDescent="0.3">
      <c r="B228" s="51" t="s">
        <v>440</v>
      </c>
      <c r="C228" s="51" t="s">
        <v>46</v>
      </c>
      <c r="D228" s="53" t="s">
        <v>500</v>
      </c>
      <c r="E228" s="53" t="s">
        <v>4</v>
      </c>
      <c r="F228" s="53">
        <v>1</v>
      </c>
      <c r="G228" s="54">
        <v>4</v>
      </c>
      <c r="H228" s="54">
        <v>2</v>
      </c>
      <c r="I228" s="54">
        <v>0</v>
      </c>
      <c r="J228" s="54">
        <v>0</v>
      </c>
      <c r="K228" s="54">
        <v>4</v>
      </c>
      <c r="L228" s="55">
        <v>2</v>
      </c>
      <c r="M228" s="56">
        <v>0</v>
      </c>
      <c r="N228" s="56">
        <v>0</v>
      </c>
      <c r="O228" s="54">
        <v>0</v>
      </c>
      <c r="P228" s="55">
        <v>160</v>
      </c>
    </row>
    <row r="229" spans="2:16" x14ac:dyDescent="0.3">
      <c r="B229" s="51" t="s">
        <v>444</v>
      </c>
      <c r="C229" s="51" t="s">
        <v>46</v>
      </c>
      <c r="D229" s="53" t="s">
        <v>501</v>
      </c>
      <c r="E229" s="53" t="s">
        <v>4</v>
      </c>
      <c r="F229" s="53">
        <v>1</v>
      </c>
      <c r="G229" s="54">
        <v>4</v>
      </c>
      <c r="H229" s="54">
        <v>2</v>
      </c>
      <c r="I229" s="54">
        <v>0</v>
      </c>
      <c r="J229" s="54">
        <v>0</v>
      </c>
      <c r="K229" s="54">
        <v>4</v>
      </c>
      <c r="L229" s="55">
        <v>2</v>
      </c>
      <c r="M229" s="56">
        <v>0</v>
      </c>
      <c r="N229" s="56">
        <v>0</v>
      </c>
      <c r="O229" s="54">
        <v>0</v>
      </c>
      <c r="P229" s="55">
        <v>160</v>
      </c>
    </row>
    <row r="230" spans="2:16" x14ac:dyDescent="0.3">
      <c r="B230" s="51" t="s">
        <v>436</v>
      </c>
      <c r="C230" s="51" t="s">
        <v>142</v>
      </c>
      <c r="D230" s="53" t="s">
        <v>502</v>
      </c>
      <c r="E230" s="53" t="s">
        <v>11</v>
      </c>
      <c r="F230" s="53">
        <v>1</v>
      </c>
      <c r="G230" s="54">
        <v>8</v>
      </c>
      <c r="H230" s="54">
        <v>8</v>
      </c>
      <c r="I230" s="54">
        <v>0</v>
      </c>
      <c r="J230" s="54">
        <v>0</v>
      </c>
      <c r="K230" s="54">
        <v>8</v>
      </c>
      <c r="L230" s="55">
        <v>8</v>
      </c>
      <c r="M230" s="56">
        <v>0</v>
      </c>
      <c r="N230" s="56">
        <v>0</v>
      </c>
      <c r="O230" s="54">
        <v>0</v>
      </c>
      <c r="P230" s="55">
        <v>480</v>
      </c>
    </row>
    <row r="231" spans="2:16" x14ac:dyDescent="0.3">
      <c r="B231" s="51" t="s">
        <v>439</v>
      </c>
      <c r="C231" s="51" t="s">
        <v>3</v>
      </c>
      <c r="D231" s="53" t="s">
        <v>503</v>
      </c>
      <c r="E231" s="53" t="s">
        <v>4</v>
      </c>
      <c r="F231" s="53">
        <v>1</v>
      </c>
      <c r="G231" s="54">
        <v>4</v>
      </c>
      <c r="H231" s="54">
        <v>2</v>
      </c>
      <c r="I231" s="54">
        <v>0</v>
      </c>
      <c r="J231" s="54">
        <v>0</v>
      </c>
      <c r="K231" s="54">
        <v>4</v>
      </c>
      <c r="L231" s="55">
        <v>2</v>
      </c>
      <c r="M231" s="56">
        <v>0</v>
      </c>
      <c r="N231" s="56">
        <v>0</v>
      </c>
      <c r="O231" s="54">
        <v>0</v>
      </c>
      <c r="P231" s="55">
        <v>160</v>
      </c>
    </row>
    <row r="232" spans="2:16" x14ac:dyDescent="0.3">
      <c r="B232" s="51" t="s">
        <v>437</v>
      </c>
      <c r="C232" s="51" t="s">
        <v>408</v>
      </c>
      <c r="D232" s="53" t="s">
        <v>504</v>
      </c>
      <c r="E232" s="53" t="s">
        <v>4</v>
      </c>
      <c r="F232" s="53">
        <v>1</v>
      </c>
      <c r="G232" s="54">
        <v>4</v>
      </c>
      <c r="H232" s="54">
        <v>2</v>
      </c>
      <c r="I232" s="54">
        <v>0</v>
      </c>
      <c r="J232" s="54">
        <v>0</v>
      </c>
      <c r="K232" s="54">
        <v>4</v>
      </c>
      <c r="L232" s="55">
        <v>2</v>
      </c>
      <c r="M232" s="56">
        <v>0</v>
      </c>
      <c r="N232" s="56">
        <v>0</v>
      </c>
      <c r="O232" s="54">
        <v>0</v>
      </c>
      <c r="P232" s="55">
        <v>160</v>
      </c>
    </row>
    <row r="233" spans="2:16" x14ac:dyDescent="0.3">
      <c r="B233" s="51" t="s">
        <v>441</v>
      </c>
      <c r="C233" s="51" t="s">
        <v>10</v>
      </c>
      <c r="D233" s="53" t="s">
        <v>505</v>
      </c>
      <c r="E233" s="53" t="s">
        <v>18</v>
      </c>
      <c r="F233" s="53">
        <v>1</v>
      </c>
      <c r="G233" s="54">
        <v>6</v>
      </c>
      <c r="H233" s="54">
        <v>6</v>
      </c>
      <c r="I233" s="54">
        <v>0</v>
      </c>
      <c r="J233" s="54">
        <v>0</v>
      </c>
      <c r="K233" s="54">
        <v>6</v>
      </c>
      <c r="L233" s="55">
        <v>6</v>
      </c>
      <c r="M233" s="56">
        <v>0</v>
      </c>
      <c r="N233" s="56">
        <v>0</v>
      </c>
      <c r="O233" s="54">
        <v>0</v>
      </c>
      <c r="P233" s="55">
        <v>360</v>
      </c>
    </row>
    <row r="234" spans="2:16" x14ac:dyDescent="0.3">
      <c r="B234" s="51" t="s">
        <v>442</v>
      </c>
      <c r="C234" s="51" t="s">
        <v>10</v>
      </c>
      <c r="D234" s="53" t="s">
        <v>506</v>
      </c>
      <c r="E234" s="53" t="s">
        <v>18</v>
      </c>
      <c r="F234" s="53">
        <v>1</v>
      </c>
      <c r="G234" s="54">
        <v>6</v>
      </c>
      <c r="H234" s="54">
        <v>6</v>
      </c>
      <c r="I234" s="54">
        <v>0</v>
      </c>
      <c r="J234" s="54">
        <v>0</v>
      </c>
      <c r="K234" s="54">
        <v>6</v>
      </c>
      <c r="L234" s="55">
        <v>6</v>
      </c>
      <c r="M234" s="56">
        <v>0</v>
      </c>
      <c r="N234" s="56">
        <v>0</v>
      </c>
      <c r="O234" s="54">
        <v>0</v>
      </c>
      <c r="P234" s="55">
        <v>360</v>
      </c>
    </row>
    <row r="235" spans="2:16" x14ac:dyDescent="0.3">
      <c r="B235" s="51" t="s">
        <v>438</v>
      </c>
      <c r="C235" s="51" t="s">
        <v>14</v>
      </c>
      <c r="D235" s="53" t="s">
        <v>507</v>
      </c>
      <c r="E235" s="53" t="s">
        <v>18</v>
      </c>
      <c r="F235" s="53">
        <v>1</v>
      </c>
      <c r="G235" s="54">
        <v>6</v>
      </c>
      <c r="H235" s="54">
        <v>6</v>
      </c>
      <c r="I235" s="54">
        <v>0</v>
      </c>
      <c r="J235" s="54">
        <v>0</v>
      </c>
      <c r="K235" s="54">
        <v>6</v>
      </c>
      <c r="L235" s="55">
        <v>6</v>
      </c>
      <c r="M235" s="56">
        <v>0</v>
      </c>
      <c r="N235" s="56">
        <v>0</v>
      </c>
      <c r="O235" s="54">
        <v>0</v>
      </c>
      <c r="P235" s="55">
        <v>360</v>
      </c>
    </row>
    <row r="236" spans="2:16" x14ac:dyDescent="0.3">
      <c r="B236" s="51" t="s">
        <v>443</v>
      </c>
      <c r="C236" s="51" t="s">
        <v>3</v>
      </c>
      <c r="D236" s="53" t="s">
        <v>508</v>
      </c>
      <c r="E236" s="53" t="s">
        <v>4</v>
      </c>
      <c r="F236" s="53">
        <v>1</v>
      </c>
      <c r="G236" s="54">
        <v>4</v>
      </c>
      <c r="H236" s="54">
        <v>2</v>
      </c>
      <c r="I236" s="54">
        <v>0</v>
      </c>
      <c r="J236" s="54">
        <v>0</v>
      </c>
      <c r="K236" s="54">
        <v>4</v>
      </c>
      <c r="L236" s="55">
        <v>2</v>
      </c>
      <c r="M236" s="56">
        <v>0</v>
      </c>
      <c r="N236" s="56">
        <v>0</v>
      </c>
      <c r="O236" s="54">
        <v>0</v>
      </c>
      <c r="P236" s="55">
        <v>160</v>
      </c>
    </row>
    <row r="237" spans="2:16" x14ac:dyDescent="0.3">
      <c r="B237" s="51" t="s">
        <v>454</v>
      </c>
      <c r="C237" s="51" t="s">
        <v>46</v>
      </c>
      <c r="D237" s="53" t="s">
        <v>509</v>
      </c>
      <c r="E237" s="53" t="s">
        <v>4</v>
      </c>
      <c r="F237" s="53">
        <v>1</v>
      </c>
      <c r="G237" s="54">
        <v>4</v>
      </c>
      <c r="H237" s="54">
        <v>2</v>
      </c>
      <c r="I237" s="54">
        <v>0</v>
      </c>
      <c r="J237" s="54">
        <v>0</v>
      </c>
      <c r="K237" s="54">
        <v>4</v>
      </c>
      <c r="L237" s="55">
        <v>2</v>
      </c>
      <c r="M237" s="56">
        <v>0</v>
      </c>
      <c r="N237" s="56">
        <v>0</v>
      </c>
      <c r="O237" s="54">
        <v>0</v>
      </c>
      <c r="P237" s="55">
        <v>160</v>
      </c>
    </row>
    <row r="238" spans="2:16" x14ac:dyDescent="0.3">
      <c r="B238" s="51" t="s">
        <v>455</v>
      </c>
      <c r="C238" s="51" t="s">
        <v>17</v>
      </c>
      <c r="D238" s="53" t="s">
        <v>510</v>
      </c>
      <c r="E238" s="53" t="s">
        <v>11</v>
      </c>
      <c r="F238" s="53">
        <v>1</v>
      </c>
      <c r="G238" s="54">
        <v>8</v>
      </c>
      <c r="H238" s="54">
        <v>8</v>
      </c>
      <c r="I238" s="54">
        <v>0</v>
      </c>
      <c r="J238" s="54">
        <v>0</v>
      </c>
      <c r="K238" s="54">
        <v>8</v>
      </c>
      <c r="L238" s="55">
        <v>8</v>
      </c>
      <c r="M238" s="56">
        <v>0</v>
      </c>
      <c r="N238" s="56">
        <v>0</v>
      </c>
      <c r="O238" s="54">
        <v>0</v>
      </c>
      <c r="P238" s="55">
        <v>480</v>
      </c>
    </row>
    <row r="239" spans="2:16" x14ac:dyDescent="0.3">
      <c r="B239" s="51" t="s">
        <v>456</v>
      </c>
      <c r="C239" s="51" t="s">
        <v>10</v>
      </c>
      <c r="D239" s="53" t="s">
        <v>511</v>
      </c>
      <c r="E239" s="53" t="s">
        <v>11</v>
      </c>
      <c r="F239" s="53">
        <v>1</v>
      </c>
      <c r="G239" s="54">
        <v>8</v>
      </c>
      <c r="H239" s="54">
        <v>8</v>
      </c>
      <c r="I239" s="54">
        <v>0</v>
      </c>
      <c r="J239" s="54">
        <v>0</v>
      </c>
      <c r="K239" s="54">
        <v>8</v>
      </c>
      <c r="L239" s="55">
        <v>8</v>
      </c>
      <c r="M239" s="56">
        <v>0</v>
      </c>
      <c r="N239" s="56">
        <v>0</v>
      </c>
      <c r="O239" s="54">
        <v>0</v>
      </c>
      <c r="P239" s="55">
        <v>480</v>
      </c>
    </row>
    <row r="240" spans="2:16" x14ac:dyDescent="0.3">
      <c r="B240" s="51" t="s">
        <v>457</v>
      </c>
      <c r="C240" s="51" t="s">
        <v>14</v>
      </c>
      <c r="D240" s="53" t="s">
        <v>512</v>
      </c>
      <c r="E240" s="53" t="s">
        <v>18</v>
      </c>
      <c r="F240" s="53">
        <v>1</v>
      </c>
      <c r="G240" s="54">
        <v>6</v>
      </c>
      <c r="H240" s="54">
        <v>6</v>
      </c>
      <c r="I240" s="54">
        <v>0</v>
      </c>
      <c r="J240" s="54">
        <v>0</v>
      </c>
      <c r="K240" s="54">
        <v>6</v>
      </c>
      <c r="L240" s="55">
        <v>6</v>
      </c>
      <c r="M240" s="56">
        <v>0</v>
      </c>
      <c r="N240" s="56">
        <v>0</v>
      </c>
      <c r="O240" s="54">
        <v>0</v>
      </c>
      <c r="P240" s="55">
        <v>360</v>
      </c>
    </row>
  </sheetData>
  <mergeCells count="6">
    <mergeCell ref="P2:P3"/>
    <mergeCell ref="M2:N2"/>
    <mergeCell ref="G2:H2"/>
    <mergeCell ref="I2:J2"/>
    <mergeCell ref="K2:L2"/>
    <mergeCell ref="O2:O3"/>
  </mergeCells>
  <phoneticPr fontId="3" type="noConversion"/>
  <conditionalFormatting sqref="B244:C1048576 B225 B1:C2 B4:C6 B7:B223 B230:B240">
    <cfRule type="duplicateValues" dxfId="0" priority="4"/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2</vt:i4>
      </vt:variant>
      <vt:variant>
        <vt:lpstr>이름 지정된 범위</vt:lpstr>
      </vt:variant>
      <vt:variant>
        <vt:i4>1</vt:i4>
      </vt:variant>
    </vt:vector>
  </HeadingPairs>
  <TitlesOfParts>
    <vt:vector size="3" baseType="lpstr">
      <vt:lpstr>계약이행율</vt:lpstr>
      <vt:lpstr>OIC</vt:lpstr>
      <vt:lpstr>계약이행율!Print_Area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koeun choi</dc:creator>
  <cp:lastModifiedBy>koeun choi</cp:lastModifiedBy>
  <dcterms:created xsi:type="dcterms:W3CDTF">2026-05-07T03:23:55Z</dcterms:created>
  <dcterms:modified xsi:type="dcterms:W3CDTF">2026-05-09T07:04:43Z</dcterms:modified>
</cp:coreProperties>
</file>